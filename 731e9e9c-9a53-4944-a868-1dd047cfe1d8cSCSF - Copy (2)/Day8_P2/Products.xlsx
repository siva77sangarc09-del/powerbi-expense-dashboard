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Practice\"/>
    </mc:Choice>
  </mc:AlternateContent>
  <xr:revisionPtr revIDLastSave="0" documentId="8_{9D85C9F3-C740-481B-8682-7518DDE80204}" xr6:coauthVersionLast="47" xr6:coauthVersionMax="47" xr10:uidLastSave="{00000000-0000-0000-0000-000000000000}"/>
  <bookViews>
    <workbookView xWindow="-108" yWindow="-108" windowWidth="23256" windowHeight="12456" xr2:uid="{BDDED2FB-8398-4180-8002-0DBD88342291}"/>
  </bookViews>
  <sheets>
    <sheet name="Products" sheetId="1" r:id="rId1"/>
  </sheets>
  <externalReferences>
    <externalReference r:id="rId2"/>
  </externalReferences>
  <definedNames>
    <definedName name="_xlnm._FilterDatabase" localSheetId="0" hidden="1">Products!$A$1:$G$500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0" i="1" l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<sst xmlns="http://schemas.openxmlformats.org/spreadsheetml/2006/main" count="1504" uniqueCount="584">
  <si>
    <t>Category_Id</t>
  </si>
  <si>
    <t>Brand Id</t>
  </si>
  <si>
    <t>Sub Category</t>
  </si>
  <si>
    <t>Brand_name</t>
  </si>
  <si>
    <t>Product_Name</t>
  </si>
  <si>
    <t>Unit_Price</t>
  </si>
  <si>
    <t>Units_in_Stock</t>
  </si>
  <si>
    <t>Pulses</t>
  </si>
  <si>
    <t>Tata Sampann</t>
  </si>
  <si>
    <t>Urad Dal</t>
  </si>
  <si>
    <t>Spices</t>
  </si>
  <si>
    <t>Turmeric Powder</t>
  </si>
  <si>
    <t>Moong Dal</t>
  </si>
  <si>
    <t>Red Chilli Powder</t>
  </si>
  <si>
    <t>Chana Dal</t>
  </si>
  <si>
    <t>Coriander Powder</t>
  </si>
  <si>
    <t>Toor Dal</t>
  </si>
  <si>
    <t>Garam Masala</t>
  </si>
  <si>
    <t>Masoor Dal</t>
  </si>
  <si>
    <t>Cumin Powder</t>
  </si>
  <si>
    <t>Flours</t>
  </si>
  <si>
    <t>Aashirvaad</t>
  </si>
  <si>
    <t>Whole Wheat Atta</t>
  </si>
  <si>
    <t>Flour</t>
  </si>
  <si>
    <t>Multigrain Atta</t>
  </si>
  <si>
    <t>Sharbati Atta</t>
  </si>
  <si>
    <t>Select Atta</t>
  </si>
  <si>
    <t>Sugar Release Control Atta</t>
  </si>
  <si>
    <t>Salt</t>
  </si>
  <si>
    <t>Iodized Salt</t>
  </si>
  <si>
    <t>Black Pepper Powder</t>
  </si>
  <si>
    <t>Ragi Flour</t>
  </si>
  <si>
    <t>Kitchen King Masala</t>
  </si>
  <si>
    <t>Besan (Gram Flour)</t>
  </si>
  <si>
    <t>Oils</t>
  </si>
  <si>
    <t>Fortune</t>
  </si>
  <si>
    <t>Rice Bran Health Oil</t>
  </si>
  <si>
    <t>Soya Health Oil</t>
  </si>
  <si>
    <t>Sunlite Sunflower Oil</t>
  </si>
  <si>
    <t>Kachi Ghani Mustard Oil</t>
  </si>
  <si>
    <t>Filtered Groundnut Oil</t>
  </si>
  <si>
    <t>Chakki Fresh Atta</t>
  </si>
  <si>
    <t>Rice</t>
  </si>
  <si>
    <t>Biryani Special Basmati Rice</t>
  </si>
  <si>
    <t>Everyday Basmati Rice</t>
  </si>
  <si>
    <t>Unpolished Chana Dal</t>
  </si>
  <si>
    <t>Unpolished Arhar Dal</t>
  </si>
  <si>
    <t>Cottonlite Oil</t>
  </si>
  <si>
    <t>Pehli Dhaar Mustard Oil</t>
  </si>
  <si>
    <t>Rozana Basmati Rice</t>
  </si>
  <si>
    <t>Unpolished Moong Dal</t>
  </si>
  <si>
    <t>Daawat</t>
  </si>
  <si>
    <t>Heritage Classic Basmati Rice</t>
  </si>
  <si>
    <t>Super Basmati Rice</t>
  </si>
  <si>
    <t>Rozana Gold Basmati Rice</t>
  </si>
  <si>
    <t>Brown Basmati Rice</t>
  </si>
  <si>
    <t>Traditional Basmati Rice</t>
  </si>
  <si>
    <t>Sehat Mini Mogra Basmati Rice</t>
  </si>
  <si>
    <t>Chef's Secret Basmati Rice</t>
  </si>
  <si>
    <t>Dubar Basmati Rice</t>
  </si>
  <si>
    <t>Rozana Silver Basmati Rice</t>
  </si>
  <si>
    <t>Heritage Daily Feast Tukda Basmati Rice</t>
  </si>
  <si>
    <t>India Gate</t>
  </si>
  <si>
    <t>Brown Rice</t>
  </si>
  <si>
    <t>Classic Basmati Rice</t>
  </si>
  <si>
    <t>Mogra Basmati Rice</t>
  </si>
  <si>
    <t>Feast Rozzana Basmati Rice</t>
  </si>
  <si>
    <t>Tibar Basmati Rice</t>
  </si>
  <si>
    <t>Mini Mogra Basmati Rice</t>
  </si>
  <si>
    <t>Sona Masoori Rice</t>
  </si>
  <si>
    <t>Jeera Rice</t>
  </si>
  <si>
    <t>Saffola</t>
  </si>
  <si>
    <t>Total Oil</t>
  </si>
  <si>
    <t>Gold Oil</t>
  </si>
  <si>
    <t>Active Oil</t>
  </si>
  <si>
    <t>Tasty Oil</t>
  </si>
  <si>
    <t>Oats</t>
  </si>
  <si>
    <t>Masala Oats</t>
  </si>
  <si>
    <t>Plain Oats</t>
  </si>
  <si>
    <t>Snacks</t>
  </si>
  <si>
    <t>Oodles</t>
  </si>
  <si>
    <t>Honey</t>
  </si>
  <si>
    <t>Pure Honey</t>
  </si>
  <si>
    <t>Immunity</t>
  </si>
  <si>
    <t>Immuniveda Turmeric Milk</t>
  </si>
  <si>
    <t>Crunchiez</t>
  </si>
  <si>
    <t>MDH</t>
  </si>
  <si>
    <t>Chana Masala</t>
  </si>
  <si>
    <t>Deggi Mirch</t>
  </si>
  <si>
    <t>Rajma Masala</t>
  </si>
  <si>
    <t>Pav Bhaji Masala</t>
  </si>
  <si>
    <t>Meat Masala</t>
  </si>
  <si>
    <t>Sambar Masala</t>
  </si>
  <si>
    <t>Tandoori Masala</t>
  </si>
  <si>
    <t>Biryani Masala</t>
  </si>
  <si>
    <t>Everest</t>
  </si>
  <si>
    <t>Shahi Biryani Masala</t>
  </si>
  <si>
    <t>Hingraj Powder</t>
  </si>
  <si>
    <t>Dry Mango Powder</t>
  </si>
  <si>
    <t>Tikhalal Chilli Powder</t>
  </si>
  <si>
    <t>Tandoori Chicken Masala</t>
  </si>
  <si>
    <t>Chaat Masala</t>
  </si>
  <si>
    <t>Chicken Masala</t>
  </si>
  <si>
    <t>Oral Care</t>
  </si>
  <si>
    <t>Colgate</t>
  </si>
  <si>
    <t>Total Advanced Health Toothpaste</t>
  </si>
  <si>
    <t>MaxFresh Spicy Fresh Red Gel Toothpaste</t>
  </si>
  <si>
    <t>Strong Teeth Toothpaste</t>
  </si>
  <si>
    <t>Visible White Toothpaste</t>
  </si>
  <si>
    <t>Sensitive Plus Toothpaste</t>
  </si>
  <si>
    <t>Herbal Toothpaste</t>
  </si>
  <si>
    <t>Kids Barbie Toothpaste</t>
  </si>
  <si>
    <t>Plax Fresh Mint Mouthwash</t>
  </si>
  <si>
    <t>ZigZag Toothbrush</t>
  </si>
  <si>
    <t>SlimSoft Charcoal Toothbrush</t>
  </si>
  <si>
    <t>Disinfectants</t>
  </si>
  <si>
    <t>Dettol</t>
  </si>
  <si>
    <t>Multi-Use Hygiene Liquid</t>
  </si>
  <si>
    <t>Antiseptic Liquid</t>
  </si>
  <si>
    <t>Soaps</t>
  </si>
  <si>
    <t>Original Bar Soap</t>
  </si>
  <si>
    <t>Sensitive Bar Soap</t>
  </si>
  <si>
    <t>Hand Wash</t>
  </si>
  <si>
    <t>Liquid Hand Wash</t>
  </si>
  <si>
    <t>Surface Cleaners</t>
  </si>
  <si>
    <t>Multi-Purpose Cleaner</t>
  </si>
  <si>
    <t>Wipes</t>
  </si>
  <si>
    <t>Antibacterial Wipes</t>
  </si>
  <si>
    <t>Sanitizers</t>
  </si>
  <si>
    <t>Instant Hand Sanitizer Gel</t>
  </si>
  <si>
    <t>Sprays</t>
  </si>
  <si>
    <t>Disinfectant Spray</t>
  </si>
  <si>
    <t>Laundry</t>
  </si>
  <si>
    <t>Laundry Sanitizer</t>
  </si>
  <si>
    <t>Lifebuoy</t>
  </si>
  <si>
    <t>Total 10 Soap</t>
  </si>
  <si>
    <t>Germ Protection Soap</t>
  </si>
  <si>
    <t>Total 10 Hand Wash</t>
  </si>
  <si>
    <t>Mild Care Hand Wash</t>
  </si>
  <si>
    <t>Body Wash</t>
  </si>
  <si>
    <t>Total 10 Body Wash</t>
  </si>
  <si>
    <t>Lemon Fresh Body Wash</t>
  </si>
  <si>
    <t>Hand Sanitizer</t>
  </si>
  <si>
    <t>Immunity Boosting Hand Sanitizer</t>
  </si>
  <si>
    <t>Germ Protection Spray</t>
  </si>
  <si>
    <t>Detergents</t>
  </si>
  <si>
    <t>Surf Excel</t>
  </si>
  <si>
    <t>Matic Front Load Detergent Powder</t>
  </si>
  <si>
    <t>Matic Top Load Detergent Powder</t>
  </si>
  <si>
    <t>Quick Wash Detergent Powder</t>
  </si>
  <si>
    <t>Easy Wash Detergent Powder</t>
  </si>
  <si>
    <t>Detergent Bar</t>
  </si>
  <si>
    <t>Liquid Detergent</t>
  </si>
  <si>
    <t>Matic Liquid Detergent</t>
  </si>
  <si>
    <t>Gentle Wash Detergent Powder</t>
  </si>
  <si>
    <t>Stain Removal Detergent Powder</t>
  </si>
  <si>
    <t>Super Soak Detergent Powder</t>
  </si>
  <si>
    <t>Harpic</t>
  </si>
  <si>
    <t>Power Plus Toilet Cleaner</t>
  </si>
  <si>
    <t>Bathroom Cleaner Lemon</t>
  </si>
  <si>
    <t>Bathroom Cleaner Floral</t>
  </si>
  <si>
    <t>Flushmatic In-Cistern Block</t>
  </si>
  <si>
    <t>Hygienic Toilet Rim Block</t>
  </si>
  <si>
    <t>Power Fresh Toilet Cleaner</t>
  </si>
  <si>
    <t>White &amp; Shine Bleach</t>
  </si>
  <si>
    <t>Drain Cleaner</t>
  </si>
  <si>
    <t>Power Blue Toilet Cleaner</t>
  </si>
  <si>
    <t>Active Fresh Toilet Cleaner</t>
  </si>
  <si>
    <t>Dishwashing</t>
  </si>
  <si>
    <t>Vim</t>
  </si>
  <si>
    <t>Lemon Dishwash Bar 125g</t>
  </si>
  <si>
    <t>Lemon Dishwash Bar 250g</t>
  </si>
  <si>
    <t>Lemon Dishwash Liquid 500ml</t>
  </si>
  <si>
    <t>Lemon Dishwash Liquid 750ml</t>
  </si>
  <si>
    <t>Lemon Dishwash Gel 500ml</t>
  </si>
  <si>
    <t>Lemon Dishwash Gel 750ml</t>
  </si>
  <si>
    <t>Anti-Bacterial Dishwash Bar 125g</t>
  </si>
  <si>
    <t>Anti-Bacterial Dishwash Bar 250g</t>
  </si>
  <si>
    <t>Anti-Bacterial Dishwash Liquid 500ml</t>
  </si>
  <si>
    <t>Anti-Bacterial Dishwash Liquid 750ml</t>
  </si>
  <si>
    <t>Body Care</t>
  </si>
  <si>
    <t>Nivea</t>
  </si>
  <si>
    <t>Aloe Hydration Body Lotion</t>
  </si>
  <si>
    <t>Deodorants</t>
  </si>
  <si>
    <t>Men Fresh Active Deodorant</t>
  </si>
  <si>
    <t>Face Care</t>
  </si>
  <si>
    <t>Milk Delights Turmeric Facewash</t>
  </si>
  <si>
    <t>Men Active Clean Shower Gel</t>
  </si>
  <si>
    <t>Fresh Powerfruit Shower Gel</t>
  </si>
  <si>
    <t>Creme</t>
  </si>
  <si>
    <t>Lip Care</t>
  </si>
  <si>
    <t>Original Care Lip Balm</t>
  </si>
  <si>
    <t>Soft Light Moisturizer</t>
  </si>
  <si>
    <t>Pearl &amp; Beauty Deodorant</t>
  </si>
  <si>
    <t>Cocoa Nourish Body Lotion</t>
  </si>
  <si>
    <t>Hair Care</t>
  </si>
  <si>
    <t>Dove</t>
  </si>
  <si>
    <t>Daily Shine Shampoo</t>
  </si>
  <si>
    <t>Cream Beauty Bathing Soap</t>
  </si>
  <si>
    <t>Intense Repair Conditioner</t>
  </si>
  <si>
    <t>Deep Moisture Body Wash</t>
  </si>
  <si>
    <t>Original Antiperspirant</t>
  </si>
  <si>
    <t>Hair Fall Rescue Shampoo</t>
  </si>
  <si>
    <t>Exfoliating Body Polish</t>
  </si>
  <si>
    <t>Beauty Moisture Face Wash</t>
  </si>
  <si>
    <t>Oxygen Moisture Shampoo</t>
  </si>
  <si>
    <t>Sensitive Skin Body Wash</t>
  </si>
  <si>
    <t>Dairy</t>
  </si>
  <si>
    <t>Amul</t>
  </si>
  <si>
    <t>Butter Unsalted 100g</t>
  </si>
  <si>
    <t>Cheese Slices 200g</t>
  </si>
  <si>
    <t>Fresh Cream 250ml</t>
  </si>
  <si>
    <t>Paneer 200g</t>
  </si>
  <si>
    <t>Ghee 500ml</t>
  </si>
  <si>
    <t>Beverages</t>
  </si>
  <si>
    <t>Kool Milkshake Chocolate 180ml</t>
  </si>
  <si>
    <t>Kool Milkshake Kesar 180ml</t>
  </si>
  <si>
    <t>Mithai Mate 400g</t>
  </si>
  <si>
    <t>Ice Cream Vanilla 1L</t>
  </si>
  <si>
    <t>Dahi 500g</t>
  </si>
  <si>
    <t>Mother Dairy</t>
  </si>
  <si>
    <t>Pure Cow Ghee 1L</t>
  </si>
  <si>
    <t>Toned Milk 1L</t>
  </si>
  <si>
    <t>Full Cream Milk 1L</t>
  </si>
  <si>
    <t>Butter 100g</t>
  </si>
  <si>
    <t>Mishti Doi 90g</t>
  </si>
  <si>
    <t>Lassi 200ml</t>
  </si>
  <si>
    <t>Probiotic Dahi 400g</t>
  </si>
  <si>
    <t>Nestlé</t>
  </si>
  <si>
    <t>Milkmaid (380g)</t>
  </si>
  <si>
    <t>Nescafé Classic (200g)</t>
  </si>
  <si>
    <t>Culinary</t>
  </si>
  <si>
    <t>Maggi Noodles (70g)</t>
  </si>
  <si>
    <t>Confectionery</t>
  </si>
  <si>
    <t>KitKat (37.3g)</t>
  </si>
  <si>
    <t>Breakfast Cereals</t>
  </si>
  <si>
    <t>Nesquik (500g)</t>
  </si>
  <si>
    <t>Frozen Desserts</t>
  </si>
  <si>
    <t>Kwality Walls</t>
  </si>
  <si>
    <t>Shameless Vanilla (700ml)</t>
  </si>
  <si>
    <t>Cornetto Double Chocolate</t>
  </si>
  <si>
    <t>Magnum Classic (80ml)</t>
  </si>
  <si>
    <t>Feast Choco Bar (90ml)</t>
  </si>
  <si>
    <t>Trixy Orange (60ml)</t>
  </si>
  <si>
    <t>Biscuits</t>
  </si>
  <si>
    <t>Britannia</t>
  </si>
  <si>
    <t>Good Day Cashew Cookies (200g)</t>
  </si>
  <si>
    <t>Cheese Slices (200g)</t>
  </si>
  <si>
    <t>Bakery</t>
  </si>
  <si>
    <t>Fruit Cake (250g)</t>
  </si>
  <si>
    <t>NutriChoice Digestive (250g)</t>
  </si>
  <si>
    <t>Bread</t>
  </si>
  <si>
    <t>Whole Wheat Bread (400g)</t>
  </si>
  <si>
    <t>Vadilal</t>
  </si>
  <si>
    <t>Ice Cream Tub (1L)</t>
  </si>
  <si>
    <t>Mango Dolly (60ml)</t>
  </si>
  <si>
    <t>Kesar Pista Kulfi (90ml)</t>
  </si>
  <si>
    <t>Choco Bar (90ml)</t>
  </si>
  <si>
    <t>Rajbhog Ice Cream (500ml)</t>
  </si>
  <si>
    <t>Hatsun</t>
  </si>
  <si>
    <t>Arokya Milk (1L)</t>
  </si>
  <si>
    <t>Hatsun Curd (500g)</t>
  </si>
  <si>
    <t>Hatsun Paneer (200g)</t>
  </si>
  <si>
    <t>Hatsun Butter (100g)</t>
  </si>
  <si>
    <t>Hatsun Ghee (500ml)</t>
  </si>
  <si>
    <t>Grocery</t>
  </si>
  <si>
    <t>DMart</t>
  </si>
  <si>
    <t>Basmati Rice (1kg)</t>
  </si>
  <si>
    <t>Daily Essentials</t>
  </si>
  <si>
    <t>Detergent Powder (1kg)</t>
  </si>
  <si>
    <t>Home &amp; Kitchen</t>
  </si>
  <si>
    <t>Stainless Steel Kettle</t>
  </si>
  <si>
    <t>Personal Care</t>
  </si>
  <si>
    <t>Hand Wash (500ml)</t>
  </si>
  <si>
    <t>Packaged Foods</t>
  </si>
  <si>
    <t>Instant Noodles (70g)</t>
  </si>
  <si>
    <t>Toor Dal (1kg)</t>
  </si>
  <si>
    <t>Floor Cleaner (1L)</t>
  </si>
  <si>
    <t>Non-Stick Fry Pan</t>
  </si>
  <si>
    <t>Shampoo (200ml)</t>
  </si>
  <si>
    <t>Tomato Ketchup (500g)</t>
  </si>
  <si>
    <t>Chana Dal (1kg)</t>
  </si>
  <si>
    <t>Dishwashing Liquid (500ml)</t>
  </si>
  <si>
    <t>Plastic Storage Containers (Set of 3)</t>
  </si>
  <si>
    <t>Body Lotion (400ml)</t>
  </si>
  <si>
    <t>Peanut Butter (500g)</t>
  </si>
  <si>
    <t>DMart Minimax</t>
  </si>
  <si>
    <t>DMart Premia</t>
  </si>
  <si>
    <t>Emli (200g)</t>
  </si>
  <si>
    <t>Flavoured Dry Fruits Celebration Pack (400g)</t>
  </si>
  <si>
    <t>Premium Detergent Powder (1kg)</t>
  </si>
  <si>
    <t>Premium Stainless Steel Kettle</t>
  </si>
  <si>
    <t>Premium Hand Wash (500ml)</t>
  </si>
  <si>
    <t>D Homes</t>
  </si>
  <si>
    <t>Stainless Steel Vacuum Flask (1000ml)</t>
  </si>
  <si>
    <t>Rechargeable LED Lantern (KN9854 LA)</t>
  </si>
  <si>
    <t>Non-Stick Cookware Set (3 pcs)</t>
  </si>
  <si>
    <t>Plastic Storage Box (Set of 5)</t>
  </si>
  <si>
    <t>Electric Kettle (1.5L)</t>
  </si>
  <si>
    <t>Dutch Harbour</t>
  </si>
  <si>
    <t>Ceramic Dinner Set (16 pcs)</t>
  </si>
  <si>
    <t>Glass Storage Jars (Set of 3)</t>
  </si>
  <si>
    <t>Stainless Steel Cutlery Set (24 pcs)</t>
  </si>
  <si>
    <t>Non-Stick Fry Pan (28cm)</t>
  </si>
  <si>
    <t>Electric Rice Cooker (1.8L)</t>
  </si>
  <si>
    <t>Pantene</t>
  </si>
  <si>
    <t>Pro-V Hair Fall Control Shampoo (180ml)</t>
  </si>
  <si>
    <t>Pro-V Daily Moisture Renewal Shampoo (340ml)</t>
  </si>
  <si>
    <t>Pro-V Total Damage Care Conditioner (180ml)</t>
  </si>
  <si>
    <t>Pro-V Silky Smooth Care Shampoo (340ml)</t>
  </si>
  <si>
    <t>Pro-V Oil Replacement (180ml)</t>
  </si>
  <si>
    <t>Gillette</t>
  </si>
  <si>
    <t>Mach3 Razor (1 Handle + 2 Cartridges)</t>
  </si>
  <si>
    <t>Fusion5 Razor (1 Handle + 2 Cartridges)</t>
  </si>
  <si>
    <t>ProGlide Razor (1 Handle + 1 Cartridge)</t>
  </si>
  <si>
    <t>Shaving Foam (200g)</t>
  </si>
  <si>
    <t>After Shave Splash (100ml)</t>
  </si>
  <si>
    <t>Bombay Dyeing</t>
  </si>
  <si>
    <t>Cotton King Size Bed Sheet</t>
  </si>
  <si>
    <t>Floral Fantasy Bed Sheet</t>
  </si>
  <si>
    <t>Luxury Bath Towel</t>
  </si>
  <si>
    <t>Soft All Season Blanket</t>
  </si>
  <si>
    <t>Mini Blanket</t>
  </si>
  <si>
    <t>Welspun</t>
  </si>
  <si>
    <t>Hand Towel (450 GSM, Nile Blue)</t>
  </si>
  <si>
    <t>Bath Towel (500 GSM, White)</t>
  </si>
  <si>
    <t>Cotton Bedsheet (Double, Floral)</t>
  </si>
  <si>
    <t>Comforter (Single, Microfiber)</t>
  </si>
  <si>
    <t>Pillow (Set of 2, Hypoallergenic)</t>
  </si>
  <si>
    <t>Spaces</t>
  </si>
  <si>
    <t>Hygro Cotton Bath Towel</t>
  </si>
  <si>
    <t>Microfiber Comforter (Single)</t>
  </si>
  <si>
    <t>Pillow Covers (Set of 2)</t>
  </si>
  <si>
    <t>Reversible Dohar (Single)</t>
  </si>
  <si>
    <t>Portico</t>
  </si>
  <si>
    <t>Raymond Home</t>
  </si>
  <si>
    <t>Solid Single Blanket (270 GSM)</t>
  </si>
  <si>
    <t>Home Appliances</t>
  </si>
  <si>
    <t>Philips</t>
  </si>
  <si>
    <t>Stellar Bright T-Bulb (18W)</t>
  </si>
  <si>
    <t>Mixer Grinder (750W)</t>
  </si>
  <si>
    <t>Hair Dryer (HP8100/46)</t>
  </si>
  <si>
    <t>Beard Trimmer (BT3102/15)</t>
  </si>
  <si>
    <t>Induction Cooktop (HD4928/01)</t>
  </si>
  <si>
    <t>LED Bulb (9W)</t>
  </si>
  <si>
    <t>Steam Iron (GC1905)</t>
  </si>
  <si>
    <t>Hair Straightener (HP8302/00)</t>
  </si>
  <si>
    <t>Air Fryer (HD9218/51)</t>
  </si>
  <si>
    <t>Electric Toothbrush (HX3214/01)</t>
  </si>
  <si>
    <t>Bajaj</t>
  </si>
  <si>
    <t>Deluxe Sandwich Toaster (SWX 3)</t>
  </si>
  <si>
    <t>Majesty DX 7 Dry Iron</t>
  </si>
  <si>
    <t>Platini PX 97 Torque Air Cooler</t>
  </si>
  <si>
    <t>Popular Plus 750W Mixer Grinder</t>
  </si>
  <si>
    <t>Flashy 1000W Room Heater</t>
  </si>
  <si>
    <t>Majesty 1603 TSS Oven Toaster Grill</t>
  </si>
  <si>
    <t>GX 1 Mixer Grinder (500W)</t>
  </si>
  <si>
    <t>Immersion Rod Water Heater</t>
  </si>
  <si>
    <t>LED Bulb (12W)</t>
  </si>
  <si>
    <t>Majesty ICX 7 Induction Cooktop</t>
  </si>
  <si>
    <t>Samsung</t>
  </si>
  <si>
    <t>32" LED TV (UA32T4010ARXXL)</t>
  </si>
  <si>
    <t>253L 3 Star Inverter Frost Free Double Door Refrigerator (RT28T3483S8/HL)</t>
  </si>
  <si>
    <t>6.5 kg Fully-Automatic Top Loading Washing Machine (WA65A4002VS/TL)</t>
  </si>
  <si>
    <t>1.5 Ton 3 Star Inverter Split AC (AR18TY3QBBU)</t>
  </si>
  <si>
    <t>23 L Solo Microwave Oven (MS23J5133AG/TL)</t>
  </si>
  <si>
    <t>43" Smart LED TV (UA43T5350AKXXL)</t>
  </si>
  <si>
    <t>324L 3 Star Inverter Frost Free Double Door Refrigerator (RT34T4513S8/HL)</t>
  </si>
  <si>
    <t>7 kg Fully-Automatic Front Loading Washing Machine (WW70T4020CX/TL)</t>
  </si>
  <si>
    <t>2 Ton 3 Star Inverter Split AC (AR24TY3QBBU)</t>
  </si>
  <si>
    <t>28 L Convection Microwave Oven (MC28H5033CK/TL)</t>
  </si>
  <si>
    <t>LG</t>
  </si>
  <si>
    <t>32" LED TV (32LM560BPTC)</t>
  </si>
  <si>
    <t>260L 3 Star Frost Free Double Door Refrigerator (GL-I292RPZL)</t>
  </si>
  <si>
    <t>6.5 kg Fully-Automatic Top Loading Washing Machine (T65SKSF4Z)</t>
  </si>
  <si>
    <t>1.5 Ton 3 Star Inverter Split AC (LS-Q18YNZA)</t>
  </si>
  <si>
    <t>28 L Convection Microwave Oven (MC2846BG)</t>
  </si>
  <si>
    <t>43" Smart LED TV (43LM5600PTC)</t>
  </si>
  <si>
    <t>335L 3 Star Frost Free Double Door Refrigerator (GL-T372JPZN)</t>
  </si>
  <si>
    <t>7 kg Fully-Automatic Front Loading Washing Machine (FHT1207ZWL)</t>
  </si>
  <si>
    <t>2 Ton 3 Star Inverter Split AC (LS-Q24HNXA)</t>
  </si>
  <si>
    <t>32 L Convection Microwave Oven (MC3286BRUM)</t>
  </si>
  <si>
    <t>Whirlpool</t>
  </si>
  <si>
    <t>1.5 Ton 3 Star Inverter Split AC (MAGICOOL PRO 3S COPR)</t>
  </si>
  <si>
    <t>265L 3 Star Frost Free Double Door Refrigerator (NEO DF278 PRM 3S)</t>
  </si>
  <si>
    <t>7 kg Fully-Automatic Top Loading Washing Machine (WHITEMAGIC ELITE 7.0)</t>
  </si>
  <si>
    <t>20 L Solo Microwave Oven (MAGICOOK PRO 20SE)</t>
  </si>
  <si>
    <t>1.8L Electric Kettle (WK18)</t>
  </si>
  <si>
    <t>340L 3 Star Frost Free Double Door Refrigerator (IF INV CNV 355 ELT)</t>
  </si>
  <si>
    <t>8 kg Fully-Automatic Front Loading Washing Machine (FreshCare 8212)</t>
  </si>
  <si>
    <t>30 L Convection Microwave Oven (MAGICOOK PRO 30CE)</t>
  </si>
  <si>
    <t>2 Ton 3 Star Inverter Split AC (MAGICOOL PRO 3S COPR)</t>
  </si>
  <si>
    <t>1.5L Electric Kettle (WK15)</t>
  </si>
  <si>
    <t>Bosch</t>
  </si>
  <si>
    <t>Bosch 7 kg Fully Automatic Washing Machine</t>
  </si>
  <si>
    <t>Power Tools</t>
  </si>
  <si>
    <t>Bosch GSB 500W 500 RE Tool Kit</t>
  </si>
  <si>
    <t>Kitchen Appliances</t>
  </si>
  <si>
    <t>Bosch 800W Hand Blender</t>
  </si>
  <si>
    <t>Bosch 28L Convection Microwave Oven</t>
  </si>
  <si>
    <t>Bosch Professional Angle Grinder</t>
  </si>
  <si>
    <t>Panasonic</t>
  </si>
  <si>
    <t>Panasonic 6 kg Fully Automatic Washing Machine</t>
  </si>
  <si>
    <t>Panasonic 23L Convection Microwave Oven</t>
  </si>
  <si>
    <t>Panasonic 1000W Hair Dryer</t>
  </si>
  <si>
    <t>Panasonic 1.5 Ton 5 Star Inverter Split AC</t>
  </si>
  <si>
    <t>Panasonic 40W Bluetooth Soundbar</t>
  </si>
  <si>
    <t>Tableware</t>
  </si>
  <si>
    <t>La Opala</t>
  </si>
  <si>
    <t>La Opala Jamaica Coffee Cup Set (6 Pieces)</t>
  </si>
  <si>
    <t>La Opala Aqua Spray Opalware Dinner Set (35 pcs)</t>
  </si>
  <si>
    <t>La Opala Diva Classique Dinner Set (27 pcs)</t>
  </si>
  <si>
    <t>La Opala Melody Tea Set (12 Pieces)</t>
  </si>
  <si>
    <t>La Opala Sovrana Pearl Dinner Set (18 pcs)</t>
  </si>
  <si>
    <t>Corelle</t>
  </si>
  <si>
    <t>Corelle Winter Frost White 12-Piece Dinnerware Set</t>
  </si>
  <si>
    <t>Corelle Country Cottage 12-Piece Dinnerware Set</t>
  </si>
  <si>
    <t>Corelle Splendor 12-Piece Dinnerware Set</t>
  </si>
  <si>
    <t>Corelle Indigo Speckle 18-Piece Dinnerware Set</t>
  </si>
  <si>
    <t>Corelle Portofino 18-Piece Dinnerware Set</t>
  </si>
  <si>
    <t>Kitchenware</t>
  </si>
  <si>
    <t>Borosil</t>
  </si>
  <si>
    <t>Borosil Radius Glass - 295 ml (6 Pieces)</t>
  </si>
  <si>
    <t>Borosil Glass Mixing Bowl Set (3 Pieces)</t>
  </si>
  <si>
    <t>Borosil Vision Glass Set (6 Pieces)</t>
  </si>
  <si>
    <t>Borosil Prima 30L OTG</t>
  </si>
  <si>
    <t>Borosil Glass Lunch Box Set (3 Pieces)</t>
  </si>
  <si>
    <t>Stationery</t>
  </si>
  <si>
    <t>Cello</t>
  </si>
  <si>
    <t>Cello Finegrip Blue Pen (Jar of 25)</t>
  </si>
  <si>
    <t>Cello Checkers Plastic Storage Container Set (18 Pieces)</t>
  </si>
  <si>
    <t>Cello H2O Unbreakable Bottle (1 Litre, Set of 3)</t>
  </si>
  <si>
    <t>Cello Non-Stick Cookware Set (5 Pieces)</t>
  </si>
  <si>
    <t>Cello Opalware Dinner Set (33 Pieces)</t>
  </si>
  <si>
    <t>Milton</t>
  </si>
  <si>
    <t>Milton Shine 1000 Stainless Steel Water Bottle (900 ml)</t>
  </si>
  <si>
    <t>Milton Thermosteel Flask (500 ml)</t>
  </si>
  <si>
    <t>Milton Executive Lunch Box (4 Containers)</t>
  </si>
  <si>
    <t>Milton Thermoware Casserole (1500 ml)</t>
  </si>
  <si>
    <t>Milton Kool Rover Insulated Water Jug (5 Litres)</t>
  </si>
  <si>
    <t>Footwear</t>
  </si>
  <si>
    <t>Relaxo</t>
  </si>
  <si>
    <t>Relaxo Flite Men's Slipper PUG028G - Tan</t>
  </si>
  <si>
    <t>Relaxo Flite Men's Sandal PUG20 - Black</t>
  </si>
  <si>
    <t>Relaxo Sparx Men's Sports Shoes</t>
  </si>
  <si>
    <t>Relaxo Bahamas Women's Flip Flops</t>
  </si>
  <si>
    <t>Relaxo Sparx Women's Casual Shoes</t>
  </si>
  <si>
    <t>Liberty</t>
  </si>
  <si>
    <t>Liberty Men's Loafers</t>
  </si>
  <si>
    <t>Liberty Women's Heels</t>
  </si>
  <si>
    <t>Liberty Men's Casual Shoes</t>
  </si>
  <si>
    <t>Liberty Women's Flip Flops</t>
  </si>
  <si>
    <t>Liberty Kids' Sneakers</t>
  </si>
  <si>
    <t>Liberty Men's Formal Shoes</t>
  </si>
  <si>
    <t>Liberty Women's Sandals</t>
  </si>
  <si>
    <t>Liberty Kids' School Shoes</t>
  </si>
  <si>
    <t>Liberty Men's Sports Shoes</t>
  </si>
  <si>
    <t>Liberty Women's Ballerinas</t>
  </si>
  <si>
    <t>Bata</t>
  </si>
  <si>
    <t>Bata Women's Heels</t>
  </si>
  <si>
    <t>Bata Men's Loafers</t>
  </si>
  <si>
    <t>Bata Women's Flip Flops</t>
  </si>
  <si>
    <t>Bata Men's Sandals</t>
  </si>
  <si>
    <t>Bata Kids' Sneakers</t>
  </si>
  <si>
    <t>Bata Men's Formal Shoes</t>
  </si>
  <si>
    <t>Bata Women's Sandals</t>
  </si>
  <si>
    <t>Bata Kids' School Shoes</t>
  </si>
  <si>
    <t>Bata Men's Sports Shoes</t>
  </si>
  <si>
    <t>Bata Women's Ballerinas</t>
  </si>
  <si>
    <t>Plastic Containers</t>
  </si>
  <si>
    <t>Joyo</t>
  </si>
  <si>
    <t>Joyo Kitchen Storewell Container</t>
  </si>
  <si>
    <t>Joyo Fresherware Container with Box</t>
  </si>
  <si>
    <t>Joyo Storage Container Set</t>
  </si>
  <si>
    <t>Signoraware</t>
  </si>
  <si>
    <t>Modular Oval No.3 Container - Blue</t>
  </si>
  <si>
    <t>Classic Round Container - Red</t>
  </si>
  <si>
    <t>Square Lunch Box - Green</t>
  </si>
  <si>
    <t>Freshness Keeper - Yellow</t>
  </si>
  <si>
    <t>Kid's Apparel</t>
  </si>
  <si>
    <t>Gini &amp; Jony</t>
  </si>
  <si>
    <t>Boys' Printed T-Shirt - Blue</t>
  </si>
  <si>
    <t>Girls' Floral Dress - Pink</t>
  </si>
  <si>
    <t>Boys' Denim Shorts - Black</t>
  </si>
  <si>
    <t>Girls' Casual Top - Yellow</t>
  </si>
  <si>
    <t>Lilliput</t>
  </si>
  <si>
    <t>Boys' Striped T-Shirt - Green</t>
  </si>
  <si>
    <t>Girls' Party Dress - Red</t>
  </si>
  <si>
    <t>Boys' Cargo Pants - Brown</t>
  </si>
  <si>
    <t>Girls' Summer Top - White</t>
  </si>
  <si>
    <t>Chicco</t>
  </si>
  <si>
    <t>Baby Romper - Blue</t>
  </si>
  <si>
    <t>Toddler T-Shirt - Yellow</t>
  </si>
  <si>
    <t>Infant Bodysuit - Pink</t>
  </si>
  <si>
    <t>Baby Pants - Green</t>
  </si>
  <si>
    <t>Mothercare</t>
  </si>
  <si>
    <t>Baby Sleepsuit - White</t>
  </si>
  <si>
    <t>Toddler Dress - Pink</t>
  </si>
  <si>
    <t>Infant Hoodie - Grey</t>
  </si>
  <si>
    <t>Baby Leggings - Blue</t>
  </si>
  <si>
    <t>UCB Kids</t>
  </si>
  <si>
    <t>Boys' Polo T-Shirt - Red</t>
  </si>
  <si>
    <t>Girls' Skater Dress - Blue</t>
  </si>
  <si>
    <t>Boys' Jogger Pants - Grey</t>
  </si>
  <si>
    <t>Girls' Printed Top - Yellow</t>
  </si>
  <si>
    <t>Women's Apparel</t>
  </si>
  <si>
    <t>Biba</t>
  </si>
  <si>
    <t>Printed Anarkali Kurta - Red</t>
  </si>
  <si>
    <t>Embroidered Kurti - Blue</t>
  </si>
  <si>
    <t>Cotton Palazzo Pants - White</t>
  </si>
  <si>
    <t>Floral Print Dupatta - Pink</t>
  </si>
  <si>
    <t>W</t>
  </si>
  <si>
    <t>Printed Kurta - Green</t>
  </si>
  <si>
    <t>Embellished Tunic - Black</t>
  </si>
  <si>
    <t>Cotton Palazzo - Beige</t>
  </si>
  <si>
    <t>Floral Print Scarf - Orange</t>
  </si>
  <si>
    <t>Global Desi</t>
  </si>
  <si>
    <t>Printed Kurta - Orange</t>
  </si>
  <si>
    <t>Embroidered Tunic - White</t>
  </si>
  <si>
    <t>Cotton Palazzo - Black</t>
  </si>
  <si>
    <t>Floral Print Scarf - Red</t>
  </si>
  <si>
    <t>Fabindia</t>
  </si>
  <si>
    <t>Handwoven Cotton Kurta - Blue</t>
  </si>
  <si>
    <t>Block Print Skirt - Red</t>
  </si>
  <si>
    <t>Embroidered Dupatta - White</t>
  </si>
  <si>
    <t>Silk Blend Saree - Green</t>
  </si>
  <si>
    <t>Aurelia</t>
  </si>
  <si>
    <t>Pink Printed Straight Kurta</t>
  </si>
  <si>
    <t>Blue Printed Straight Kurta with Palazzo &amp; Dupatta Set</t>
  </si>
  <si>
    <t>Yellow Floral Printed Kurta, Trousers and Dupatta Set</t>
  </si>
  <si>
    <t>Geometric Printed A-line Viscose Dress</t>
  </si>
  <si>
    <t>Men's Apparel</t>
  </si>
  <si>
    <t>Peter England</t>
  </si>
  <si>
    <t>Formal Shirt - White</t>
  </si>
  <si>
    <t>Casual Trousers - Beige</t>
  </si>
  <si>
    <t>Polo T-Shirt - Navy Blue</t>
  </si>
  <si>
    <t>Blazer - Black</t>
  </si>
  <si>
    <t>Van Heusen</t>
  </si>
  <si>
    <t>Formal Shirt - Light Blue</t>
  </si>
  <si>
    <t>Casual Trousers - Grey</t>
  </si>
  <si>
    <t>Polo T-Shirt - Maroon</t>
  </si>
  <si>
    <t>Blazer - Navy Blue</t>
  </si>
  <si>
    <t>Allen Solly</t>
  </si>
  <si>
    <t>Formal Shirt - Light Pink</t>
  </si>
  <si>
    <t>Casual Trousers - Olive Green</t>
  </si>
  <si>
    <t>Polo T-Shirt - White</t>
  </si>
  <si>
    <t>Blazer - Charcoal Grey</t>
  </si>
  <si>
    <t>Louis Philippe</t>
  </si>
  <si>
    <t>Casual Trousers - Navy Blue</t>
  </si>
  <si>
    <t>Polo T-Shirt - Black</t>
  </si>
  <si>
    <t>Blazer - Grey</t>
  </si>
  <si>
    <t>Park Avenue</t>
  </si>
  <si>
    <t>Casual Trousers - Khaki</t>
  </si>
  <si>
    <t>Blazer - Dark Grey</t>
  </si>
  <si>
    <t>Fruits &amp; Vegetables</t>
  </si>
  <si>
    <t>Fresho</t>
  </si>
  <si>
    <t>Fresh Apples - 1 kg</t>
  </si>
  <si>
    <t>Organic Bananas - 1 kg</t>
  </si>
  <si>
    <t>Fresh Tomatoes - 1 kg</t>
  </si>
  <si>
    <t>Baby Spinach - 250 g</t>
  </si>
  <si>
    <t>Fresh Oranges - 1 kg</t>
  </si>
  <si>
    <t>Organic Carrots - 1 kg</t>
  </si>
  <si>
    <t>Fresh Cucumbers - 1 kg</t>
  </si>
  <si>
    <t>Fresh Spinach - 500 g</t>
  </si>
  <si>
    <t>Reliance Fresh</t>
  </si>
  <si>
    <t>Fresh Mangoes - 1 kg</t>
  </si>
  <si>
    <t>Organic Spinach - 500 g</t>
  </si>
  <si>
    <t>Fresh Bell Peppers - 1 kg</t>
  </si>
  <si>
    <t>Fresh Strawberries - 250 g</t>
  </si>
  <si>
    <t>BigBasket</t>
  </si>
  <si>
    <t>Fresh Pomegranates - 1 kg</t>
  </si>
  <si>
    <t>Fresh Onions - 2 kg</t>
  </si>
  <si>
    <t>Fresh Carrots - 500 g</t>
  </si>
  <si>
    <t>Fresh Potatoes - 1 kg</t>
  </si>
  <si>
    <t>Nature's Basket</t>
  </si>
  <si>
    <t>Fresh Avocados - 1 kg</t>
  </si>
  <si>
    <t>Organic Kale - 250 g</t>
  </si>
  <si>
    <t>Fresh Blueberries - 125 g</t>
  </si>
  <si>
    <t>Fresh Broccoli - 500 g</t>
  </si>
  <si>
    <t>Fresh Raspberries - 125 g</t>
  </si>
  <si>
    <t>Organic Zucchini - 500 g</t>
  </si>
  <si>
    <t>Fresh Asparagus - 250 g</t>
  </si>
  <si>
    <t>Fresh Cherry Tomatoes - 250 g</t>
  </si>
  <si>
    <t>Farm 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</si>
</sst>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_GPS_Activity\2024_2025\March\Power%20BI\Sprint%201\Dataset\Practice\ShoplyMart.xlsx" TargetMode="External"/><Relationship Id="rId1" Type="http://schemas.microsoft.com/office/2019/04/relationships/externalLinkLongPath" Target="ShoplyM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  <sheetName val="Location"/>
      <sheetName val="Stores"/>
      <sheetName val="Category"/>
      <sheetName val="Order_Details"/>
      <sheetName val="Orders"/>
      <sheetName val="Products"/>
      <sheetName val="Br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</v>
          </cell>
          <cell r="B2">
            <v>1</v>
          </cell>
        </row>
        <row r="3">
          <cell r="A3">
            <v>2</v>
          </cell>
          <cell r="B3">
            <v>1</v>
          </cell>
        </row>
        <row r="4">
          <cell r="A4">
            <v>3</v>
          </cell>
          <cell r="B4">
            <v>1</v>
          </cell>
        </row>
        <row r="5">
          <cell r="A5">
            <v>4</v>
          </cell>
          <cell r="B5">
            <v>1</v>
          </cell>
        </row>
        <row r="6">
          <cell r="A6">
            <v>5</v>
          </cell>
          <cell r="B6">
            <v>1</v>
          </cell>
        </row>
        <row r="7">
          <cell r="A7">
            <v>6</v>
          </cell>
          <cell r="B7">
            <v>1</v>
          </cell>
        </row>
        <row r="8">
          <cell r="A8">
            <v>7</v>
          </cell>
          <cell r="B8">
            <v>1</v>
          </cell>
        </row>
        <row r="9">
          <cell r="A9">
            <v>8</v>
          </cell>
          <cell r="B9">
            <v>1</v>
          </cell>
        </row>
        <row r="10">
          <cell r="A10">
            <v>9</v>
          </cell>
          <cell r="B10">
            <v>2</v>
          </cell>
        </row>
        <row r="11">
          <cell r="A11">
            <v>10</v>
          </cell>
          <cell r="B11">
            <v>2</v>
          </cell>
        </row>
        <row r="12">
          <cell r="A12">
            <v>11</v>
          </cell>
          <cell r="B12">
            <v>2</v>
          </cell>
        </row>
        <row r="13">
          <cell r="A13">
            <v>12</v>
          </cell>
          <cell r="B13">
            <v>2</v>
          </cell>
        </row>
        <row r="14">
          <cell r="A14">
            <v>13</v>
          </cell>
          <cell r="B14">
            <v>2</v>
          </cell>
        </row>
        <row r="15">
          <cell r="A15">
            <v>14</v>
          </cell>
          <cell r="B15">
            <v>2</v>
          </cell>
        </row>
        <row r="16">
          <cell r="A16">
            <v>15</v>
          </cell>
          <cell r="B16">
            <v>2</v>
          </cell>
        </row>
        <row r="17">
          <cell r="A17">
            <v>16</v>
          </cell>
          <cell r="B17">
            <v>2</v>
          </cell>
        </row>
        <row r="18">
          <cell r="A18">
            <v>17</v>
          </cell>
          <cell r="B18">
            <v>3</v>
          </cell>
        </row>
        <row r="19">
          <cell r="A19">
            <v>18</v>
          </cell>
          <cell r="B19">
            <v>3</v>
          </cell>
        </row>
        <row r="20">
          <cell r="A20">
            <v>19</v>
          </cell>
          <cell r="B20">
            <v>3</v>
          </cell>
        </row>
        <row r="21">
          <cell r="A21">
            <v>20</v>
          </cell>
          <cell r="B21">
            <v>3</v>
          </cell>
        </row>
        <row r="22">
          <cell r="A22">
            <v>21</v>
          </cell>
          <cell r="B22">
            <v>3</v>
          </cell>
        </row>
        <row r="23">
          <cell r="A23">
            <v>22</v>
          </cell>
          <cell r="B23">
            <v>3</v>
          </cell>
        </row>
        <row r="24">
          <cell r="A24">
            <v>23</v>
          </cell>
          <cell r="B24">
            <v>3</v>
          </cell>
        </row>
        <row r="25">
          <cell r="A25">
            <v>24</v>
          </cell>
          <cell r="B25">
            <v>4</v>
          </cell>
        </row>
        <row r="26">
          <cell r="A26">
            <v>25</v>
          </cell>
          <cell r="B26">
            <v>4</v>
          </cell>
        </row>
        <row r="27">
          <cell r="A27">
            <v>26</v>
          </cell>
          <cell r="B27">
            <v>4</v>
          </cell>
        </row>
        <row r="28">
          <cell r="A28">
            <v>27</v>
          </cell>
          <cell r="B28">
            <v>4</v>
          </cell>
        </row>
        <row r="29">
          <cell r="A29">
            <v>28</v>
          </cell>
          <cell r="B29">
            <v>4</v>
          </cell>
        </row>
        <row r="30">
          <cell r="A30">
            <v>29</v>
          </cell>
          <cell r="B30">
            <v>5</v>
          </cell>
        </row>
        <row r="31">
          <cell r="A31">
            <v>30</v>
          </cell>
          <cell r="B31">
            <v>5</v>
          </cell>
        </row>
        <row r="32">
          <cell r="A32">
            <v>31</v>
          </cell>
          <cell r="B32">
            <v>6</v>
          </cell>
        </row>
        <row r="33">
          <cell r="A33">
            <v>32</v>
          </cell>
          <cell r="B33">
            <v>6</v>
          </cell>
        </row>
        <row r="34">
          <cell r="A34">
            <v>33</v>
          </cell>
          <cell r="B34">
            <v>6</v>
          </cell>
        </row>
        <row r="35">
          <cell r="A35">
            <v>34</v>
          </cell>
          <cell r="B35">
            <v>6</v>
          </cell>
        </row>
        <row r="36">
          <cell r="A36">
            <v>35</v>
          </cell>
          <cell r="B36">
            <v>6</v>
          </cell>
        </row>
        <row r="37">
          <cell r="A37">
            <v>36</v>
          </cell>
          <cell r="B37">
            <v>7</v>
          </cell>
        </row>
        <row r="38">
          <cell r="A38">
            <v>37</v>
          </cell>
          <cell r="B38">
            <v>7</v>
          </cell>
        </row>
        <row r="39">
          <cell r="A39">
            <v>38</v>
          </cell>
          <cell r="B39">
            <v>7</v>
          </cell>
        </row>
        <row r="40">
          <cell r="A40">
            <v>39</v>
          </cell>
          <cell r="B40">
            <v>7</v>
          </cell>
        </row>
        <row r="41">
          <cell r="A41">
            <v>40</v>
          </cell>
          <cell r="B41">
            <v>7</v>
          </cell>
        </row>
        <row r="42">
          <cell r="A42">
            <v>41</v>
          </cell>
          <cell r="B42">
            <v>7</v>
          </cell>
        </row>
        <row r="43">
          <cell r="A43">
            <v>42</v>
          </cell>
          <cell r="B43">
            <v>7</v>
          </cell>
        </row>
        <row r="44">
          <cell r="A44">
            <v>43</v>
          </cell>
          <cell r="B44">
            <v>8</v>
          </cell>
        </row>
        <row r="45">
          <cell r="A45">
            <v>44</v>
          </cell>
          <cell r="B45">
            <v>8</v>
          </cell>
        </row>
        <row r="46">
          <cell r="A46">
            <v>45</v>
          </cell>
          <cell r="B46">
            <v>8</v>
          </cell>
        </row>
        <row r="47">
          <cell r="A47">
            <v>46</v>
          </cell>
          <cell r="B47">
            <v>8</v>
          </cell>
        </row>
        <row r="48">
          <cell r="A48">
            <v>47</v>
          </cell>
          <cell r="B48">
            <v>8</v>
          </cell>
        </row>
        <row r="49">
          <cell r="A49">
            <v>48</v>
          </cell>
          <cell r="B49">
            <v>9</v>
          </cell>
        </row>
        <row r="50">
          <cell r="A50">
            <v>49</v>
          </cell>
          <cell r="B50">
            <v>9</v>
          </cell>
        </row>
        <row r="51">
          <cell r="A51">
            <v>50</v>
          </cell>
          <cell r="B51">
            <v>9</v>
          </cell>
        </row>
        <row r="52">
          <cell r="A52">
            <v>51</v>
          </cell>
          <cell r="B52">
            <v>9</v>
          </cell>
        </row>
        <row r="53">
          <cell r="A53">
            <v>52</v>
          </cell>
          <cell r="B53">
            <v>9</v>
          </cell>
        </row>
        <row r="54">
          <cell r="A54">
            <v>53</v>
          </cell>
          <cell r="B54">
            <v>10</v>
          </cell>
        </row>
        <row r="55">
          <cell r="A55">
            <v>54</v>
          </cell>
          <cell r="B55">
            <v>10</v>
          </cell>
        </row>
        <row r="56">
          <cell r="A56">
            <v>55</v>
          </cell>
          <cell r="B56">
            <v>10</v>
          </cell>
        </row>
        <row r="57">
          <cell r="A57">
            <v>56</v>
          </cell>
          <cell r="B57">
            <v>10</v>
          </cell>
        </row>
        <row r="58">
          <cell r="A58">
            <v>57</v>
          </cell>
          <cell r="B58">
            <v>10</v>
          </cell>
        </row>
        <row r="59">
          <cell r="A59">
            <v>58</v>
          </cell>
          <cell r="B59">
            <v>11</v>
          </cell>
        </row>
        <row r="60">
          <cell r="A60">
            <v>59</v>
          </cell>
          <cell r="B60">
            <v>11</v>
          </cell>
        </row>
        <row r="61">
          <cell r="A61">
            <v>60</v>
          </cell>
          <cell r="B61">
            <v>11</v>
          </cell>
        </row>
        <row r="62">
          <cell r="A62">
            <v>61</v>
          </cell>
          <cell r="B62">
            <v>11</v>
          </cell>
        </row>
        <row r="63">
          <cell r="A63">
            <v>62</v>
          </cell>
          <cell r="B63">
            <v>11</v>
          </cell>
        </row>
        <row r="64">
          <cell r="A64">
            <v>63</v>
          </cell>
          <cell r="B64">
            <v>12</v>
          </cell>
        </row>
        <row r="65">
          <cell r="A65">
            <v>64</v>
          </cell>
          <cell r="B65">
            <v>12</v>
          </cell>
        </row>
        <row r="66">
          <cell r="A66">
            <v>65</v>
          </cell>
          <cell r="B66">
            <v>12</v>
          </cell>
        </row>
        <row r="67">
          <cell r="A67">
            <v>66</v>
          </cell>
          <cell r="B67">
            <v>12</v>
          </cell>
        </row>
        <row r="68">
          <cell r="A68">
            <v>67</v>
          </cell>
          <cell r="B68">
            <v>12</v>
          </cell>
        </row>
        <row r="69">
          <cell r="A69">
            <v>68</v>
          </cell>
          <cell r="B69">
            <v>13</v>
          </cell>
        </row>
        <row r="70">
          <cell r="A70">
            <v>69</v>
          </cell>
          <cell r="B70">
            <v>13</v>
          </cell>
        </row>
        <row r="71">
          <cell r="A71">
            <v>70</v>
          </cell>
          <cell r="B71">
            <v>13</v>
          </cell>
        </row>
        <row r="72">
          <cell r="A72">
            <v>71</v>
          </cell>
          <cell r="B72">
            <v>13</v>
          </cell>
        </row>
        <row r="73">
          <cell r="A73">
            <v>72</v>
          </cell>
          <cell r="B73">
            <v>13</v>
          </cell>
        </row>
        <row r="74">
          <cell r="A74">
            <v>73</v>
          </cell>
          <cell r="B74">
            <v>14</v>
          </cell>
        </row>
        <row r="75">
          <cell r="A75">
            <v>74</v>
          </cell>
          <cell r="B75">
            <v>14</v>
          </cell>
        </row>
        <row r="76">
          <cell r="A76">
            <v>75</v>
          </cell>
          <cell r="B76">
            <v>14</v>
          </cell>
        </row>
        <row r="77">
          <cell r="A77">
            <v>76</v>
          </cell>
          <cell r="B77">
            <v>14</v>
          </cell>
        </row>
        <row r="78">
          <cell r="A78">
            <v>77</v>
          </cell>
          <cell r="B78">
            <v>14</v>
          </cell>
        </row>
        <row r="79">
          <cell r="A79">
            <v>78</v>
          </cell>
          <cell r="B79">
            <v>15</v>
          </cell>
        </row>
        <row r="80">
          <cell r="A80">
            <v>79</v>
          </cell>
          <cell r="B80">
            <v>15</v>
          </cell>
        </row>
        <row r="81">
          <cell r="A81">
            <v>80</v>
          </cell>
          <cell r="B81">
            <v>15</v>
          </cell>
        </row>
        <row r="82">
          <cell r="A82">
            <v>81</v>
          </cell>
          <cell r="B82">
            <v>15</v>
          </cell>
        </row>
        <row r="83">
          <cell r="A83">
            <v>82</v>
          </cell>
          <cell r="B83">
            <v>15</v>
          </cell>
        </row>
        <row r="84">
          <cell r="A84">
            <v>83</v>
          </cell>
          <cell r="B84">
            <v>16</v>
          </cell>
        </row>
        <row r="85">
          <cell r="A85">
            <v>84</v>
          </cell>
          <cell r="B85">
            <v>16</v>
          </cell>
        </row>
        <row r="86">
          <cell r="A86">
            <v>85</v>
          </cell>
          <cell r="B86">
            <v>16</v>
          </cell>
        </row>
        <row r="87">
          <cell r="A87">
            <v>86</v>
          </cell>
          <cell r="B87">
            <v>16</v>
          </cell>
        </row>
        <row r="88">
          <cell r="A88">
            <v>87</v>
          </cell>
          <cell r="B88">
            <v>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E5F2-2969-4A6E-A6B2-778026D9F780}">
  <dimension ref="A1:G500"/>
  <sheetViews>
    <sheetView tabSelected="1" workbookViewId="0">
      <selection sqref="A1:A1048576"/>
    </sheetView>
  </sheetViews>
  <sheetFormatPr defaultRowHeight="14.45"/>
  <cols>
    <col min="3" max="3" width="16.42578125" bestFit="1" customWidth="1"/>
    <col min="5" max="5" width="26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f>_xlfn.XLOOKUP(B2,[1]Brand!$A$2:$A$88,[1]Brand!$B$2:$B$88)</f>
        <v>1</v>
      </c>
      <c r="B2">
        <v>1</v>
      </c>
      <c r="C2" t="s">
        <v>7</v>
      </c>
      <c r="D2" t="s">
        <v>8</v>
      </c>
      <c r="E2" t="s">
        <v>9</v>
      </c>
      <c r="F2">
        <v>120</v>
      </c>
      <c r="G2">
        <v>50</v>
      </c>
    </row>
    <row r="3" spans="1:7">
      <c r="A3">
        <f>_xlfn.XLOOKUP(B3,[1]Brand!$A$2:$A$88,[1]Brand!$B$2:$B$88)</f>
        <v>1</v>
      </c>
      <c r="B3">
        <v>1</v>
      </c>
      <c r="C3" t="s">
        <v>10</v>
      </c>
      <c r="D3" t="s">
        <v>8</v>
      </c>
      <c r="E3" t="s">
        <v>11</v>
      </c>
      <c r="F3">
        <v>50</v>
      </c>
      <c r="G3">
        <v>100</v>
      </c>
    </row>
    <row r="4" spans="1:7">
      <c r="A4">
        <f>_xlfn.XLOOKUP(B4,[1]Brand!$A$2:$A$88,[1]Brand!$B$2:$B$88)</f>
        <v>1</v>
      </c>
      <c r="B4">
        <v>1</v>
      </c>
      <c r="C4" t="s">
        <v>7</v>
      </c>
      <c r="D4" t="s">
        <v>8</v>
      </c>
      <c r="E4" t="s">
        <v>12</v>
      </c>
      <c r="F4">
        <v>110</v>
      </c>
      <c r="G4">
        <v>75</v>
      </c>
    </row>
    <row r="5" spans="1:7">
      <c r="A5">
        <f>_xlfn.XLOOKUP(B5,[1]Brand!$A$2:$A$88,[1]Brand!$B$2:$B$88)</f>
        <v>1</v>
      </c>
      <c r="B5">
        <v>1</v>
      </c>
      <c r="C5" t="s">
        <v>10</v>
      </c>
      <c r="D5" t="s">
        <v>8</v>
      </c>
      <c r="E5" t="s">
        <v>13</v>
      </c>
      <c r="F5">
        <v>60</v>
      </c>
      <c r="G5">
        <v>80</v>
      </c>
    </row>
    <row r="6" spans="1:7">
      <c r="A6">
        <f>_xlfn.XLOOKUP(B6,[1]Brand!$A$2:$A$88,[1]Brand!$B$2:$B$88)</f>
        <v>1</v>
      </c>
      <c r="B6">
        <v>1</v>
      </c>
      <c r="C6" t="s">
        <v>7</v>
      </c>
      <c r="D6" t="s">
        <v>8</v>
      </c>
      <c r="E6" t="s">
        <v>14</v>
      </c>
      <c r="F6">
        <v>90</v>
      </c>
      <c r="G6">
        <v>60</v>
      </c>
    </row>
    <row r="7" spans="1:7">
      <c r="A7">
        <f>_xlfn.XLOOKUP(B7,[1]Brand!$A$2:$A$88,[1]Brand!$B$2:$B$88)</f>
        <v>1</v>
      </c>
      <c r="B7">
        <v>1</v>
      </c>
      <c r="C7" t="s">
        <v>10</v>
      </c>
      <c r="D7" t="s">
        <v>8</v>
      </c>
      <c r="E7" t="s">
        <v>15</v>
      </c>
      <c r="F7">
        <v>55</v>
      </c>
      <c r="G7">
        <v>90</v>
      </c>
    </row>
    <row r="8" spans="1:7">
      <c r="A8">
        <f>_xlfn.XLOOKUP(B8,[1]Brand!$A$2:$A$88,[1]Brand!$B$2:$B$88)</f>
        <v>1</v>
      </c>
      <c r="B8">
        <v>1</v>
      </c>
      <c r="C8" t="s">
        <v>7</v>
      </c>
      <c r="D8" t="s">
        <v>8</v>
      </c>
      <c r="E8" t="s">
        <v>16</v>
      </c>
      <c r="F8">
        <v>130</v>
      </c>
      <c r="G8">
        <v>40</v>
      </c>
    </row>
    <row r="9" spans="1:7">
      <c r="A9">
        <f>_xlfn.XLOOKUP(B9,[1]Brand!$A$2:$A$88,[1]Brand!$B$2:$B$88)</f>
        <v>1</v>
      </c>
      <c r="B9">
        <v>1</v>
      </c>
      <c r="C9" t="s">
        <v>10</v>
      </c>
      <c r="D9" t="s">
        <v>8</v>
      </c>
      <c r="E9" t="s">
        <v>17</v>
      </c>
      <c r="F9">
        <v>70</v>
      </c>
      <c r="G9">
        <v>70</v>
      </c>
    </row>
    <row r="10" spans="1:7">
      <c r="A10">
        <f>_xlfn.XLOOKUP(B10,[1]Brand!$A$2:$A$88,[1]Brand!$B$2:$B$88)</f>
        <v>1</v>
      </c>
      <c r="B10">
        <v>1</v>
      </c>
      <c r="C10" t="s">
        <v>7</v>
      </c>
      <c r="D10" t="s">
        <v>8</v>
      </c>
      <c r="E10" t="s">
        <v>18</v>
      </c>
      <c r="F10">
        <v>100</v>
      </c>
      <c r="G10">
        <v>65</v>
      </c>
    </row>
    <row r="11" spans="1:7">
      <c r="A11">
        <f>_xlfn.XLOOKUP(B11,[1]Brand!$A$2:$A$88,[1]Brand!$B$2:$B$88)</f>
        <v>1</v>
      </c>
      <c r="B11">
        <v>1</v>
      </c>
      <c r="C11" t="s">
        <v>10</v>
      </c>
      <c r="D11" t="s">
        <v>8</v>
      </c>
      <c r="E11" t="s">
        <v>19</v>
      </c>
      <c r="F11">
        <v>65</v>
      </c>
      <c r="G11">
        <v>85</v>
      </c>
    </row>
    <row r="12" spans="1:7">
      <c r="A12">
        <f>_xlfn.XLOOKUP(B12,[1]Brand!$A$2:$A$88,[1]Brand!$B$2:$B$88)</f>
        <v>1</v>
      </c>
      <c r="B12">
        <v>2</v>
      </c>
      <c r="C12" t="s">
        <v>20</v>
      </c>
      <c r="D12" t="s">
        <v>21</v>
      </c>
      <c r="E12" t="s">
        <v>22</v>
      </c>
      <c r="F12">
        <v>200</v>
      </c>
      <c r="G12">
        <v>100</v>
      </c>
    </row>
    <row r="13" spans="1:7">
      <c r="A13">
        <f>_xlfn.XLOOKUP(B13,[1]Brand!$A$2:$A$88,[1]Brand!$B$2:$B$88)</f>
        <v>1</v>
      </c>
      <c r="B13">
        <v>2</v>
      </c>
      <c r="C13" t="s">
        <v>10</v>
      </c>
      <c r="D13" t="s">
        <v>21</v>
      </c>
      <c r="E13" t="s">
        <v>11</v>
      </c>
      <c r="F13">
        <v>60</v>
      </c>
      <c r="G13">
        <v>80</v>
      </c>
    </row>
    <row r="14" spans="1:7">
      <c r="A14">
        <f>_xlfn.XLOOKUP(B14,[1]Brand!$A$2:$A$88,[1]Brand!$B$2:$B$88)</f>
        <v>1</v>
      </c>
      <c r="B14">
        <v>2</v>
      </c>
      <c r="C14" t="s">
        <v>23</v>
      </c>
      <c r="D14" t="s">
        <v>21</v>
      </c>
      <c r="E14" t="s">
        <v>24</v>
      </c>
      <c r="F14">
        <v>250</v>
      </c>
      <c r="G14">
        <v>70</v>
      </c>
    </row>
    <row r="15" spans="1:7">
      <c r="A15">
        <f>_xlfn.XLOOKUP(B15,[1]Brand!$A$2:$A$88,[1]Brand!$B$2:$B$88)</f>
        <v>1</v>
      </c>
      <c r="B15">
        <v>2</v>
      </c>
      <c r="C15" t="s">
        <v>10</v>
      </c>
      <c r="D15" t="s">
        <v>21</v>
      </c>
      <c r="E15" t="s">
        <v>13</v>
      </c>
      <c r="F15">
        <v>70</v>
      </c>
      <c r="G15">
        <v>90</v>
      </c>
    </row>
    <row r="16" spans="1:7">
      <c r="A16">
        <f>_xlfn.XLOOKUP(B16,[1]Brand!$A$2:$A$88,[1]Brand!$B$2:$B$88)</f>
        <v>1</v>
      </c>
      <c r="B16">
        <v>2</v>
      </c>
      <c r="C16" t="s">
        <v>23</v>
      </c>
      <c r="D16" t="s">
        <v>21</v>
      </c>
      <c r="E16" t="s">
        <v>25</v>
      </c>
      <c r="F16">
        <v>220</v>
      </c>
    </row>
    <row r="17" spans="1:7">
      <c r="A17">
        <f>_xlfn.XLOOKUP(B17,[1]Brand!$A$2:$A$88,[1]Brand!$B$2:$B$88)</f>
        <v>1</v>
      </c>
      <c r="B17">
        <v>2</v>
      </c>
      <c r="C17" t="s">
        <v>10</v>
      </c>
      <c r="D17" t="s">
        <v>21</v>
      </c>
      <c r="E17" t="s">
        <v>15</v>
      </c>
      <c r="F17">
        <v>65</v>
      </c>
      <c r="G17">
        <v>85</v>
      </c>
    </row>
    <row r="18" spans="1:7">
      <c r="A18">
        <f>_xlfn.XLOOKUP(B18,[1]Brand!$A$2:$A$88,[1]Brand!$B$2:$B$88)</f>
        <v>1</v>
      </c>
      <c r="B18">
        <v>2</v>
      </c>
      <c r="C18" t="s">
        <v>23</v>
      </c>
      <c r="D18" t="s">
        <v>21</v>
      </c>
      <c r="E18" t="s">
        <v>26</v>
      </c>
      <c r="F18">
        <v>240</v>
      </c>
      <c r="G18">
        <v>60</v>
      </c>
    </row>
    <row r="19" spans="1:7">
      <c r="A19">
        <f>_xlfn.XLOOKUP(B19,[1]Brand!$A$2:$A$88,[1]Brand!$B$2:$B$88)</f>
        <v>1</v>
      </c>
      <c r="B19">
        <v>2</v>
      </c>
      <c r="C19" t="s">
        <v>10</v>
      </c>
      <c r="D19" t="s">
        <v>21</v>
      </c>
      <c r="E19" t="s">
        <v>17</v>
      </c>
      <c r="F19">
        <v>75</v>
      </c>
      <c r="G19">
        <v>75</v>
      </c>
    </row>
    <row r="20" spans="1:7">
      <c r="A20">
        <f>_xlfn.XLOOKUP(B20,[1]Brand!$A$2:$A$88,[1]Brand!$B$2:$B$88)</f>
        <v>1</v>
      </c>
      <c r="B20">
        <v>2</v>
      </c>
      <c r="C20" t="s">
        <v>20</v>
      </c>
      <c r="D20" t="s">
        <v>21</v>
      </c>
      <c r="E20" t="s">
        <v>27</v>
      </c>
      <c r="F20">
        <v>300</v>
      </c>
      <c r="G20">
        <v>40</v>
      </c>
    </row>
    <row r="21" spans="1:7">
      <c r="A21">
        <f>_xlfn.XLOOKUP(B21,[1]Brand!$A$2:$A$88,[1]Brand!$B$2:$B$88)</f>
        <v>1</v>
      </c>
      <c r="B21">
        <v>2</v>
      </c>
      <c r="C21" t="s">
        <v>10</v>
      </c>
      <c r="D21" t="s">
        <v>21</v>
      </c>
      <c r="E21" t="s">
        <v>19</v>
      </c>
      <c r="F21">
        <v>70</v>
      </c>
      <c r="G21">
        <v>95</v>
      </c>
    </row>
    <row r="22" spans="1:7">
      <c r="A22">
        <f>_xlfn.XLOOKUP(B22,[1]Brand!$A$2:$A$88,[1]Brand!$B$2:$B$88)</f>
        <v>1</v>
      </c>
      <c r="B22">
        <v>2</v>
      </c>
      <c r="C22" t="s">
        <v>28</v>
      </c>
      <c r="D22" t="s">
        <v>21</v>
      </c>
      <c r="E22" t="s">
        <v>29</v>
      </c>
      <c r="F22">
        <v>20</v>
      </c>
      <c r="G22">
        <v>150</v>
      </c>
    </row>
    <row r="23" spans="1:7">
      <c r="A23">
        <f>_xlfn.XLOOKUP(B23,[1]Brand!$A$2:$A$88,[1]Brand!$B$2:$B$88)</f>
        <v>1</v>
      </c>
      <c r="B23">
        <v>2</v>
      </c>
      <c r="C23" t="s">
        <v>10</v>
      </c>
      <c r="D23" t="s">
        <v>21</v>
      </c>
      <c r="E23" t="s">
        <v>30</v>
      </c>
      <c r="F23">
        <v>80</v>
      </c>
      <c r="G23">
        <v>60</v>
      </c>
    </row>
    <row r="24" spans="1:7">
      <c r="A24">
        <f>_xlfn.XLOOKUP(B24,[1]Brand!$A$2:$A$88,[1]Brand!$B$2:$B$88)</f>
        <v>1</v>
      </c>
      <c r="B24">
        <v>2</v>
      </c>
      <c r="C24" t="s">
        <v>23</v>
      </c>
      <c r="D24" t="s">
        <v>21</v>
      </c>
      <c r="E24" t="s">
        <v>31</v>
      </c>
      <c r="F24">
        <v>180</v>
      </c>
      <c r="G24">
        <v>55</v>
      </c>
    </row>
    <row r="25" spans="1:7">
      <c r="A25">
        <f>_xlfn.XLOOKUP(B25,[1]Brand!$A$2:$A$88,[1]Brand!$B$2:$B$88)</f>
        <v>1</v>
      </c>
      <c r="B25">
        <v>2</v>
      </c>
      <c r="C25" t="s">
        <v>10</v>
      </c>
      <c r="D25" t="s">
        <v>21</v>
      </c>
      <c r="E25" t="s">
        <v>32</v>
      </c>
      <c r="F25">
        <v>85</v>
      </c>
      <c r="G25">
        <v>70</v>
      </c>
    </row>
    <row r="26" spans="1:7">
      <c r="A26">
        <f>_xlfn.XLOOKUP(B26,[1]Brand!$A$2:$A$88,[1]Brand!$B$2:$B$88)</f>
        <v>1</v>
      </c>
      <c r="B26">
        <v>2</v>
      </c>
      <c r="C26" t="s">
        <v>23</v>
      </c>
      <c r="D26" t="s">
        <v>21</v>
      </c>
      <c r="E26" t="s">
        <v>33</v>
      </c>
      <c r="F26">
        <v>90</v>
      </c>
      <c r="G26">
        <v>100</v>
      </c>
    </row>
    <row r="27" spans="1:7">
      <c r="A27">
        <f>_xlfn.XLOOKUP(B27,[1]Brand!$A$2:$A$88,[1]Brand!$B$2:$B$88)</f>
        <v>1</v>
      </c>
      <c r="B27">
        <v>3</v>
      </c>
      <c r="C27" t="s">
        <v>34</v>
      </c>
      <c r="D27" t="s">
        <v>35</v>
      </c>
      <c r="E27" t="s">
        <v>36</v>
      </c>
      <c r="F27">
        <v>150</v>
      </c>
      <c r="G27">
        <v>120</v>
      </c>
    </row>
    <row r="28" spans="1:7">
      <c r="A28">
        <f>_xlfn.XLOOKUP(B28,[1]Brand!$A$2:$A$88,[1]Brand!$B$2:$B$88)</f>
        <v>1</v>
      </c>
      <c r="B28">
        <v>3</v>
      </c>
      <c r="C28" t="s">
        <v>34</v>
      </c>
      <c r="D28" t="s">
        <v>35</v>
      </c>
      <c r="E28" t="s">
        <v>37</v>
      </c>
      <c r="F28">
        <v>140</v>
      </c>
      <c r="G28">
        <v>100</v>
      </c>
    </row>
    <row r="29" spans="1:7">
      <c r="A29">
        <f>_xlfn.XLOOKUP(B29,[1]Brand!$A$2:$A$88,[1]Brand!$B$2:$B$88)</f>
        <v>1</v>
      </c>
      <c r="B29">
        <v>3</v>
      </c>
      <c r="C29" t="s">
        <v>34</v>
      </c>
      <c r="D29" t="s">
        <v>35</v>
      </c>
      <c r="E29" t="s">
        <v>38</v>
      </c>
      <c r="F29">
        <v>130</v>
      </c>
      <c r="G29">
        <v>110</v>
      </c>
    </row>
    <row r="30" spans="1:7">
      <c r="A30">
        <f>_xlfn.XLOOKUP(B30,[1]Brand!$A$2:$A$88,[1]Brand!$B$2:$B$88)</f>
        <v>1</v>
      </c>
      <c r="B30">
        <v>3</v>
      </c>
      <c r="C30" t="s">
        <v>34</v>
      </c>
      <c r="D30" t="s">
        <v>35</v>
      </c>
      <c r="E30" t="s">
        <v>39</v>
      </c>
      <c r="F30">
        <v>160</v>
      </c>
      <c r="G30">
        <v>90</v>
      </c>
    </row>
    <row r="31" spans="1:7">
      <c r="A31">
        <f>_xlfn.XLOOKUP(B31,[1]Brand!$A$2:$A$88,[1]Brand!$B$2:$B$88)</f>
        <v>1</v>
      </c>
      <c r="B31">
        <v>3</v>
      </c>
      <c r="C31" t="s">
        <v>34</v>
      </c>
      <c r="D31" t="s">
        <v>35</v>
      </c>
      <c r="E31" t="s">
        <v>40</v>
      </c>
      <c r="F31">
        <v>170</v>
      </c>
      <c r="G31">
        <v>80</v>
      </c>
    </row>
    <row r="32" spans="1:7">
      <c r="A32">
        <f>_xlfn.XLOOKUP(B32,[1]Brand!$A$2:$A$88,[1]Brand!$B$2:$B$88)</f>
        <v>1</v>
      </c>
      <c r="B32">
        <v>3</v>
      </c>
      <c r="C32" t="s">
        <v>20</v>
      </c>
      <c r="D32" t="s">
        <v>35</v>
      </c>
      <c r="E32" t="s">
        <v>41</v>
      </c>
      <c r="F32">
        <v>220</v>
      </c>
      <c r="G32">
        <v>70</v>
      </c>
    </row>
    <row r="33" spans="1:7">
      <c r="A33">
        <f>_xlfn.XLOOKUP(B33,[1]Brand!$A$2:$A$88,[1]Brand!$B$2:$B$88)</f>
        <v>1</v>
      </c>
      <c r="B33">
        <v>3</v>
      </c>
      <c r="C33" t="s">
        <v>42</v>
      </c>
      <c r="D33" t="s">
        <v>35</v>
      </c>
      <c r="E33" t="s">
        <v>43</v>
      </c>
      <c r="F33">
        <v>300</v>
      </c>
      <c r="G33">
        <v>60</v>
      </c>
    </row>
    <row r="34" spans="1:7">
      <c r="A34">
        <f>_xlfn.XLOOKUP(B34,[1]Brand!$A$2:$A$88,[1]Brand!$B$2:$B$88)</f>
        <v>1</v>
      </c>
      <c r="B34">
        <v>3</v>
      </c>
      <c r="C34" t="s">
        <v>42</v>
      </c>
      <c r="D34" t="s">
        <v>35</v>
      </c>
      <c r="E34" t="s">
        <v>44</v>
      </c>
      <c r="F34">
        <v>250</v>
      </c>
      <c r="G34">
        <v>75</v>
      </c>
    </row>
    <row r="35" spans="1:7">
      <c r="A35">
        <f>_xlfn.XLOOKUP(B35,[1]Brand!$A$2:$A$88,[1]Brand!$B$2:$B$88)</f>
        <v>1</v>
      </c>
      <c r="B35">
        <v>3</v>
      </c>
      <c r="C35" t="s">
        <v>7</v>
      </c>
      <c r="D35" t="s">
        <v>35</v>
      </c>
      <c r="E35" t="s">
        <v>45</v>
      </c>
      <c r="F35">
        <v>90</v>
      </c>
      <c r="G35">
        <v>100</v>
      </c>
    </row>
    <row r="36" spans="1:7">
      <c r="A36">
        <f>_xlfn.XLOOKUP(B36,[1]Brand!$A$2:$A$88,[1]Brand!$B$2:$B$88)</f>
        <v>1</v>
      </c>
      <c r="B36">
        <v>3</v>
      </c>
      <c r="C36" t="s">
        <v>7</v>
      </c>
      <c r="D36" t="s">
        <v>35</v>
      </c>
      <c r="E36" t="s">
        <v>46</v>
      </c>
      <c r="F36">
        <v>100</v>
      </c>
      <c r="G36">
        <v>85</v>
      </c>
    </row>
    <row r="37" spans="1:7">
      <c r="A37">
        <f>_xlfn.XLOOKUP(B37,[1]Brand!$A$2:$A$88,[1]Brand!$B$2:$B$88)</f>
        <v>1</v>
      </c>
      <c r="B37">
        <v>3</v>
      </c>
      <c r="C37" t="s">
        <v>34</v>
      </c>
      <c r="D37" t="s">
        <v>35</v>
      </c>
      <c r="E37" t="s">
        <v>47</v>
      </c>
      <c r="F37">
        <v>150</v>
      </c>
      <c r="G37">
        <v>95</v>
      </c>
    </row>
    <row r="38" spans="1:7">
      <c r="A38">
        <f>_xlfn.XLOOKUP(B38,[1]Brand!$A$2:$A$88,[1]Brand!$B$2:$B$88)</f>
        <v>1</v>
      </c>
      <c r="B38">
        <v>3</v>
      </c>
      <c r="C38" t="s">
        <v>34</v>
      </c>
      <c r="D38" t="s">
        <v>35</v>
      </c>
      <c r="E38" t="s">
        <v>48</v>
      </c>
      <c r="F38">
        <v>155</v>
      </c>
      <c r="G38">
        <v>90</v>
      </c>
    </row>
    <row r="39" spans="1:7">
      <c r="A39">
        <f>_xlfn.XLOOKUP(B39,[1]Brand!$A$2:$A$88,[1]Brand!$B$2:$B$88)</f>
        <v>1</v>
      </c>
      <c r="B39">
        <v>3</v>
      </c>
      <c r="C39" t="s">
        <v>23</v>
      </c>
      <c r="D39" t="s">
        <v>35</v>
      </c>
      <c r="E39" t="s">
        <v>33</v>
      </c>
      <c r="F39">
        <v>80</v>
      </c>
      <c r="G39">
        <v>110</v>
      </c>
    </row>
    <row r="40" spans="1:7">
      <c r="A40">
        <f>_xlfn.XLOOKUP(B40,[1]Brand!$A$2:$A$88,[1]Brand!$B$2:$B$88)</f>
        <v>1</v>
      </c>
      <c r="B40">
        <v>3</v>
      </c>
      <c r="C40" t="s">
        <v>42</v>
      </c>
      <c r="D40" t="s">
        <v>35</v>
      </c>
      <c r="E40" t="s">
        <v>49</v>
      </c>
      <c r="F40">
        <v>200</v>
      </c>
      <c r="G40">
        <v>65</v>
      </c>
    </row>
    <row r="41" spans="1:7">
      <c r="A41">
        <f>_xlfn.XLOOKUP(B41,[1]Brand!$A$2:$A$88,[1]Brand!$B$2:$B$88)</f>
        <v>1</v>
      </c>
      <c r="B41">
        <v>3</v>
      </c>
      <c r="C41" t="s">
        <v>7</v>
      </c>
      <c r="D41" t="s">
        <v>35</v>
      </c>
      <c r="E41" t="s">
        <v>50</v>
      </c>
      <c r="F41">
        <v>110</v>
      </c>
      <c r="G41">
        <v>70</v>
      </c>
    </row>
    <row r="42" spans="1:7">
      <c r="A42">
        <f>_xlfn.XLOOKUP(B42,[1]Brand!$A$2:$A$88,[1]Brand!$B$2:$B$88)</f>
        <v>1</v>
      </c>
      <c r="B42">
        <v>4</v>
      </c>
      <c r="C42" t="s">
        <v>42</v>
      </c>
      <c r="D42" t="s">
        <v>51</v>
      </c>
      <c r="E42" t="s">
        <v>52</v>
      </c>
      <c r="F42">
        <v>300</v>
      </c>
      <c r="G42">
        <v>50</v>
      </c>
    </row>
    <row r="43" spans="1:7">
      <c r="A43">
        <f>_xlfn.XLOOKUP(B43,[1]Brand!$A$2:$A$88,[1]Brand!$B$2:$B$88)</f>
        <v>1</v>
      </c>
      <c r="B43">
        <v>4</v>
      </c>
      <c r="C43" t="s">
        <v>42</v>
      </c>
      <c r="D43" t="s">
        <v>51</v>
      </c>
      <c r="E43" t="s">
        <v>53</v>
      </c>
      <c r="F43">
        <v>250</v>
      </c>
      <c r="G43">
        <v>60</v>
      </c>
    </row>
    <row r="44" spans="1:7">
      <c r="A44">
        <f>_xlfn.XLOOKUP(B44,[1]Brand!$A$2:$A$88,[1]Brand!$B$2:$B$88)</f>
        <v>1</v>
      </c>
      <c r="B44">
        <v>4</v>
      </c>
      <c r="C44" t="s">
        <v>42</v>
      </c>
      <c r="D44" t="s">
        <v>51</v>
      </c>
      <c r="E44" t="s">
        <v>54</v>
      </c>
      <c r="F44">
        <v>200</v>
      </c>
      <c r="G44">
        <v>70</v>
      </c>
    </row>
    <row r="45" spans="1:7">
      <c r="A45">
        <f>_xlfn.XLOOKUP(B45,[1]Brand!$A$2:$A$88,[1]Brand!$B$2:$B$88)</f>
        <v>1</v>
      </c>
      <c r="B45">
        <v>4</v>
      </c>
      <c r="C45" t="s">
        <v>42</v>
      </c>
      <c r="D45" t="s">
        <v>51</v>
      </c>
      <c r="E45" t="s">
        <v>55</v>
      </c>
      <c r="F45">
        <v>350</v>
      </c>
      <c r="G45">
        <v>40</v>
      </c>
    </row>
    <row r="46" spans="1:7">
      <c r="A46">
        <f>_xlfn.XLOOKUP(B46,[1]Brand!$A$2:$A$88,[1]Brand!$B$2:$B$88)</f>
        <v>1</v>
      </c>
      <c r="B46">
        <v>4</v>
      </c>
      <c r="C46" t="s">
        <v>42</v>
      </c>
      <c r="D46" t="s">
        <v>51</v>
      </c>
      <c r="E46" t="s">
        <v>56</v>
      </c>
      <c r="F46">
        <v>400</v>
      </c>
      <c r="G46">
        <v>30</v>
      </c>
    </row>
    <row r="47" spans="1:7">
      <c r="A47">
        <f>_xlfn.XLOOKUP(B47,[1]Brand!$A$2:$A$88,[1]Brand!$B$2:$B$88)</f>
        <v>1</v>
      </c>
      <c r="B47">
        <v>4</v>
      </c>
      <c r="C47" t="s">
        <v>42</v>
      </c>
      <c r="D47" t="s">
        <v>51</v>
      </c>
      <c r="E47" t="s">
        <v>57</v>
      </c>
      <c r="F47">
        <v>150</v>
      </c>
      <c r="G47">
        <v>80</v>
      </c>
    </row>
    <row r="48" spans="1:7">
      <c r="A48">
        <f>_xlfn.XLOOKUP(B48,[1]Brand!$A$2:$A$88,[1]Brand!$B$2:$B$88)</f>
        <v>1</v>
      </c>
      <c r="B48">
        <v>4</v>
      </c>
      <c r="C48" t="s">
        <v>42</v>
      </c>
      <c r="D48" t="s">
        <v>51</v>
      </c>
      <c r="E48" t="s">
        <v>58</v>
      </c>
      <c r="F48">
        <v>450</v>
      </c>
      <c r="G48">
        <v>25</v>
      </c>
    </row>
    <row r="49" spans="1:7">
      <c r="A49">
        <f>_xlfn.XLOOKUP(B49,[1]Brand!$A$2:$A$88,[1]Brand!$B$2:$B$88)</f>
        <v>1</v>
      </c>
      <c r="B49">
        <v>4</v>
      </c>
      <c r="C49" t="s">
        <v>42</v>
      </c>
      <c r="D49" t="s">
        <v>51</v>
      </c>
      <c r="E49" t="s">
        <v>59</v>
      </c>
      <c r="F49">
        <v>180</v>
      </c>
      <c r="G49">
        <v>90</v>
      </c>
    </row>
    <row r="50" spans="1:7">
      <c r="A50">
        <f>_xlfn.XLOOKUP(B50,[1]Brand!$A$2:$A$88,[1]Brand!$B$2:$B$88)</f>
        <v>1</v>
      </c>
      <c r="B50">
        <v>4</v>
      </c>
      <c r="C50" t="s">
        <v>42</v>
      </c>
      <c r="D50" t="s">
        <v>51</v>
      </c>
      <c r="E50" t="s">
        <v>60</v>
      </c>
      <c r="F50">
        <v>220</v>
      </c>
      <c r="G50">
        <v>65</v>
      </c>
    </row>
    <row r="51" spans="1:7">
      <c r="A51">
        <f>_xlfn.XLOOKUP(B51,[1]Brand!$A$2:$A$88,[1]Brand!$B$2:$B$88)</f>
        <v>1</v>
      </c>
      <c r="B51">
        <v>4</v>
      </c>
      <c r="C51" t="s">
        <v>42</v>
      </c>
      <c r="D51" t="s">
        <v>51</v>
      </c>
      <c r="E51" t="s">
        <v>61</v>
      </c>
      <c r="F51">
        <v>120</v>
      </c>
      <c r="G51">
        <v>100</v>
      </c>
    </row>
    <row r="52" spans="1:7">
      <c r="A52">
        <f>_xlfn.XLOOKUP(B52,[1]Brand!$A$2:$A$88,[1]Brand!$B$2:$B$88)</f>
        <v>1</v>
      </c>
      <c r="B52">
        <v>5</v>
      </c>
      <c r="C52" t="s">
        <v>42</v>
      </c>
      <c r="D52" t="s">
        <v>62</v>
      </c>
      <c r="E52" t="s">
        <v>53</v>
      </c>
      <c r="F52">
        <v>250</v>
      </c>
      <c r="G52">
        <v>80</v>
      </c>
    </row>
    <row r="53" spans="1:7">
      <c r="A53">
        <f>_xlfn.XLOOKUP(B53,[1]Brand!$A$2:$A$88,[1]Brand!$B$2:$B$88)</f>
        <v>1</v>
      </c>
      <c r="B53">
        <v>5</v>
      </c>
      <c r="C53" t="s">
        <v>42</v>
      </c>
      <c r="D53" t="s">
        <v>62</v>
      </c>
      <c r="E53" t="s">
        <v>63</v>
      </c>
      <c r="F53">
        <v>300</v>
      </c>
      <c r="G53">
        <v>60</v>
      </c>
    </row>
    <row r="54" spans="1:7">
      <c r="A54">
        <f>_xlfn.XLOOKUP(B54,[1]Brand!$A$2:$A$88,[1]Brand!$B$2:$B$88)</f>
        <v>1</v>
      </c>
      <c r="B54">
        <v>5</v>
      </c>
      <c r="C54" t="s">
        <v>42</v>
      </c>
      <c r="D54" t="s">
        <v>62</v>
      </c>
      <c r="E54" t="s">
        <v>64</v>
      </c>
      <c r="F54">
        <v>350</v>
      </c>
      <c r="G54">
        <v>50</v>
      </c>
    </row>
    <row r="55" spans="1:7">
      <c r="A55">
        <f>_xlfn.XLOOKUP(B55,[1]Brand!$A$2:$A$88,[1]Brand!$B$2:$B$88)</f>
        <v>1</v>
      </c>
      <c r="B55">
        <v>5</v>
      </c>
      <c r="C55" t="s">
        <v>42</v>
      </c>
      <c r="D55" t="s">
        <v>62</v>
      </c>
      <c r="E55" t="s">
        <v>59</v>
      </c>
      <c r="F55">
        <v>200</v>
      </c>
      <c r="G55">
        <v>70</v>
      </c>
    </row>
    <row r="56" spans="1:7">
      <c r="A56">
        <f>_xlfn.XLOOKUP(B56,[1]Brand!$A$2:$A$88,[1]Brand!$B$2:$B$88)</f>
        <v>1</v>
      </c>
      <c r="B56">
        <v>5</v>
      </c>
      <c r="C56" t="s">
        <v>42</v>
      </c>
      <c r="D56" t="s">
        <v>62</v>
      </c>
      <c r="E56" t="s">
        <v>65</v>
      </c>
      <c r="F56">
        <v>180</v>
      </c>
      <c r="G56">
        <v>90</v>
      </c>
    </row>
    <row r="57" spans="1:7">
      <c r="A57">
        <f>_xlfn.XLOOKUP(B57,[1]Brand!$A$2:$A$88,[1]Brand!$B$2:$B$88)</f>
        <v>1</v>
      </c>
      <c r="B57">
        <v>5</v>
      </c>
      <c r="C57" t="s">
        <v>42</v>
      </c>
      <c r="D57" t="s">
        <v>62</v>
      </c>
      <c r="E57" t="s">
        <v>66</v>
      </c>
      <c r="F57">
        <v>220</v>
      </c>
      <c r="G57">
        <v>65</v>
      </c>
    </row>
    <row r="58" spans="1:7">
      <c r="A58">
        <f>_xlfn.XLOOKUP(B58,[1]Brand!$A$2:$A$88,[1]Brand!$B$2:$B$88)</f>
        <v>1</v>
      </c>
      <c r="B58">
        <v>5</v>
      </c>
      <c r="C58" t="s">
        <v>42</v>
      </c>
      <c r="D58" t="s">
        <v>62</v>
      </c>
      <c r="E58" t="s">
        <v>67</v>
      </c>
      <c r="F58">
        <v>190</v>
      </c>
      <c r="G58">
        <v>75</v>
      </c>
    </row>
    <row r="59" spans="1:7">
      <c r="A59">
        <f>_xlfn.XLOOKUP(B59,[1]Brand!$A$2:$A$88,[1]Brand!$B$2:$B$88)</f>
        <v>1</v>
      </c>
      <c r="B59">
        <v>5</v>
      </c>
      <c r="C59" t="s">
        <v>42</v>
      </c>
      <c r="D59" t="s">
        <v>62</v>
      </c>
      <c r="E59" t="s">
        <v>68</v>
      </c>
      <c r="F59">
        <v>160</v>
      </c>
      <c r="G59">
        <v>85</v>
      </c>
    </row>
    <row r="60" spans="1:7">
      <c r="A60">
        <f>_xlfn.XLOOKUP(B60,[1]Brand!$A$2:$A$88,[1]Brand!$B$2:$B$88)</f>
        <v>1</v>
      </c>
      <c r="B60">
        <v>5</v>
      </c>
      <c r="C60" t="s">
        <v>42</v>
      </c>
      <c r="D60" t="s">
        <v>62</v>
      </c>
      <c r="E60" t="s">
        <v>69</v>
      </c>
      <c r="F60">
        <v>150</v>
      </c>
      <c r="G60">
        <v>100</v>
      </c>
    </row>
    <row r="61" spans="1:7">
      <c r="A61">
        <f>_xlfn.XLOOKUP(B61,[1]Brand!$A$2:$A$88,[1]Brand!$B$2:$B$88)</f>
        <v>1</v>
      </c>
      <c r="B61">
        <v>5</v>
      </c>
      <c r="C61" t="s">
        <v>42</v>
      </c>
      <c r="D61" t="s">
        <v>62</v>
      </c>
      <c r="E61" t="s">
        <v>70</v>
      </c>
      <c r="F61">
        <v>140</v>
      </c>
      <c r="G61">
        <v>95</v>
      </c>
    </row>
    <row r="62" spans="1:7">
      <c r="A62">
        <f>_xlfn.XLOOKUP(B62,[1]Brand!$A$2:$A$88,[1]Brand!$B$2:$B$88)</f>
        <v>1</v>
      </c>
      <c r="B62">
        <v>6</v>
      </c>
      <c r="C62" t="s">
        <v>34</v>
      </c>
      <c r="D62" t="s">
        <v>71</v>
      </c>
      <c r="E62" t="s">
        <v>72</v>
      </c>
      <c r="F62">
        <v>150</v>
      </c>
      <c r="G62">
        <v>120</v>
      </c>
    </row>
    <row r="63" spans="1:7">
      <c r="A63">
        <f>_xlfn.XLOOKUP(B63,[1]Brand!$A$2:$A$88,[1]Brand!$B$2:$B$88)</f>
        <v>1</v>
      </c>
      <c r="B63">
        <v>6</v>
      </c>
      <c r="C63" t="s">
        <v>34</v>
      </c>
      <c r="D63" t="s">
        <v>71</v>
      </c>
      <c r="E63" t="s">
        <v>73</v>
      </c>
      <c r="F63">
        <v>160</v>
      </c>
      <c r="G63">
        <v>100</v>
      </c>
    </row>
    <row r="64" spans="1:7">
      <c r="A64">
        <f>_xlfn.XLOOKUP(B64,[1]Brand!$A$2:$A$88,[1]Brand!$B$2:$B$88)</f>
        <v>1</v>
      </c>
      <c r="B64">
        <v>6</v>
      </c>
      <c r="C64" t="s">
        <v>34</v>
      </c>
      <c r="D64" t="s">
        <v>71</v>
      </c>
      <c r="E64" t="s">
        <v>74</v>
      </c>
      <c r="F64">
        <v>140</v>
      </c>
      <c r="G64">
        <v>110</v>
      </c>
    </row>
    <row r="65" spans="1:7">
      <c r="A65">
        <f>_xlfn.XLOOKUP(B65,[1]Brand!$A$2:$A$88,[1]Brand!$B$2:$B$88)</f>
        <v>1</v>
      </c>
      <c r="B65">
        <v>6</v>
      </c>
      <c r="C65" t="s">
        <v>34</v>
      </c>
      <c r="D65" t="s">
        <v>71</v>
      </c>
      <c r="E65" t="s">
        <v>75</v>
      </c>
      <c r="F65">
        <v>130</v>
      </c>
      <c r="G65">
        <v>90</v>
      </c>
    </row>
    <row r="66" spans="1:7">
      <c r="A66">
        <f>_xlfn.XLOOKUP(B66,[1]Brand!$A$2:$A$88,[1]Brand!$B$2:$B$88)</f>
        <v>1</v>
      </c>
      <c r="B66">
        <v>6</v>
      </c>
      <c r="C66" t="s">
        <v>76</v>
      </c>
      <c r="D66" t="s">
        <v>71</v>
      </c>
      <c r="E66" t="s">
        <v>77</v>
      </c>
      <c r="F66">
        <v>50</v>
      </c>
      <c r="G66">
        <v>150</v>
      </c>
    </row>
    <row r="67" spans="1:7">
      <c r="A67">
        <f>_xlfn.XLOOKUP(B67,[1]Brand!$A$2:$A$88,[1]Brand!$B$2:$B$88)</f>
        <v>1</v>
      </c>
      <c r="B67">
        <v>6</v>
      </c>
      <c r="C67" t="s">
        <v>76</v>
      </c>
      <c r="D67" t="s">
        <v>71</v>
      </c>
      <c r="E67" t="s">
        <v>78</v>
      </c>
      <c r="F67">
        <v>45</v>
      </c>
      <c r="G67">
        <v>140</v>
      </c>
    </row>
    <row r="68" spans="1:7">
      <c r="A68">
        <f>_xlfn.XLOOKUP(B68,[1]Brand!$A$2:$A$88,[1]Brand!$B$2:$B$88)</f>
        <v>1</v>
      </c>
      <c r="B68">
        <v>6</v>
      </c>
      <c r="C68" t="s">
        <v>79</v>
      </c>
      <c r="D68" t="s">
        <v>71</v>
      </c>
      <c r="E68" t="s">
        <v>80</v>
      </c>
      <c r="F68">
        <v>60</v>
      </c>
      <c r="G68">
        <v>130</v>
      </c>
    </row>
    <row r="69" spans="1:7">
      <c r="A69">
        <f>_xlfn.XLOOKUP(B69,[1]Brand!$A$2:$A$88,[1]Brand!$B$2:$B$88)</f>
        <v>1</v>
      </c>
      <c r="B69">
        <v>6</v>
      </c>
      <c r="C69" t="s">
        <v>81</v>
      </c>
      <c r="D69" t="s">
        <v>71</v>
      </c>
      <c r="E69" t="s">
        <v>82</v>
      </c>
      <c r="F69">
        <v>120</v>
      </c>
      <c r="G69">
        <v>80</v>
      </c>
    </row>
    <row r="70" spans="1:7">
      <c r="A70">
        <f>_xlfn.XLOOKUP(B70,[1]Brand!$A$2:$A$88,[1]Brand!$B$2:$B$88)</f>
        <v>1</v>
      </c>
      <c r="B70">
        <v>6</v>
      </c>
      <c r="C70" t="s">
        <v>83</v>
      </c>
      <c r="D70" t="s">
        <v>71</v>
      </c>
      <c r="E70" t="s">
        <v>84</v>
      </c>
      <c r="F70">
        <v>200</v>
      </c>
      <c r="G70">
        <v>70</v>
      </c>
    </row>
    <row r="71" spans="1:7">
      <c r="A71">
        <f>_xlfn.XLOOKUP(B71,[1]Brand!$A$2:$A$88,[1]Brand!$B$2:$B$88)</f>
        <v>1</v>
      </c>
      <c r="B71">
        <v>6</v>
      </c>
      <c r="C71" t="s">
        <v>79</v>
      </c>
      <c r="D71" t="s">
        <v>71</v>
      </c>
      <c r="E71" t="s">
        <v>85</v>
      </c>
      <c r="F71">
        <v>70</v>
      </c>
      <c r="G71">
        <v>90</v>
      </c>
    </row>
    <row r="72" spans="1:7">
      <c r="A72">
        <f>_xlfn.XLOOKUP(B72,[1]Brand!$A$2:$A$88,[1]Brand!$B$2:$B$88)</f>
        <v>1</v>
      </c>
      <c r="B72">
        <v>7</v>
      </c>
      <c r="C72" t="s">
        <v>10</v>
      </c>
      <c r="D72" t="s">
        <v>86</v>
      </c>
      <c r="E72" t="s">
        <v>32</v>
      </c>
      <c r="F72">
        <v>75</v>
      </c>
      <c r="G72">
        <v>100</v>
      </c>
    </row>
    <row r="73" spans="1:7">
      <c r="A73">
        <f>_xlfn.XLOOKUP(B73,[1]Brand!$A$2:$A$88,[1]Brand!$B$2:$B$88)</f>
        <v>1</v>
      </c>
      <c r="B73">
        <v>7</v>
      </c>
      <c r="C73" t="s">
        <v>10</v>
      </c>
      <c r="D73" t="s">
        <v>86</v>
      </c>
      <c r="E73" t="s">
        <v>87</v>
      </c>
      <c r="F73">
        <v>60</v>
      </c>
      <c r="G73">
        <v>120</v>
      </c>
    </row>
    <row r="74" spans="1:7">
      <c r="A74">
        <f>_xlfn.XLOOKUP(B74,[1]Brand!$A$2:$A$88,[1]Brand!$B$2:$B$88)</f>
        <v>1</v>
      </c>
      <c r="B74">
        <v>7</v>
      </c>
      <c r="C74" t="s">
        <v>10</v>
      </c>
      <c r="D74" t="s">
        <v>86</v>
      </c>
      <c r="E74" t="s">
        <v>17</v>
      </c>
      <c r="F74">
        <v>70</v>
      </c>
      <c r="G74">
        <v>90</v>
      </c>
    </row>
    <row r="75" spans="1:7">
      <c r="A75">
        <f>_xlfn.XLOOKUP(B75,[1]Brand!$A$2:$A$88,[1]Brand!$B$2:$B$88)</f>
        <v>1</v>
      </c>
      <c r="B75">
        <v>7</v>
      </c>
      <c r="C75" t="s">
        <v>10</v>
      </c>
      <c r="D75" t="s">
        <v>86</v>
      </c>
      <c r="E75" t="s">
        <v>88</v>
      </c>
      <c r="F75">
        <v>65</v>
      </c>
      <c r="G75">
        <v>80</v>
      </c>
    </row>
    <row r="76" spans="1:7">
      <c r="A76">
        <f>_xlfn.XLOOKUP(B76,[1]Brand!$A$2:$A$88,[1]Brand!$B$2:$B$88)</f>
        <v>1</v>
      </c>
      <c r="B76">
        <v>7</v>
      </c>
      <c r="C76" t="s">
        <v>10</v>
      </c>
      <c r="D76" t="s">
        <v>86</v>
      </c>
      <c r="E76" t="s">
        <v>89</v>
      </c>
      <c r="F76">
        <v>55</v>
      </c>
      <c r="G76">
        <v>110</v>
      </c>
    </row>
    <row r="77" spans="1:7">
      <c r="A77">
        <f>_xlfn.XLOOKUP(B77,[1]Brand!$A$2:$A$88,[1]Brand!$B$2:$B$88)</f>
        <v>1</v>
      </c>
      <c r="B77">
        <v>7</v>
      </c>
      <c r="C77" t="s">
        <v>10</v>
      </c>
      <c r="D77" t="s">
        <v>86</v>
      </c>
      <c r="E77" t="s">
        <v>90</v>
      </c>
      <c r="F77">
        <v>50</v>
      </c>
      <c r="G77">
        <v>95</v>
      </c>
    </row>
    <row r="78" spans="1:7">
      <c r="A78">
        <f>_xlfn.XLOOKUP(B78,[1]Brand!$A$2:$A$88,[1]Brand!$B$2:$B$88)</f>
        <v>1</v>
      </c>
      <c r="B78">
        <v>7</v>
      </c>
      <c r="C78" t="s">
        <v>10</v>
      </c>
      <c r="D78" t="s">
        <v>86</v>
      </c>
      <c r="E78" t="s">
        <v>91</v>
      </c>
      <c r="F78">
        <v>80</v>
      </c>
      <c r="G78">
        <v>70</v>
      </c>
    </row>
    <row r="79" spans="1:7">
      <c r="A79">
        <f>_xlfn.XLOOKUP(B79,[1]Brand!$A$2:$A$88,[1]Brand!$B$2:$B$88)</f>
        <v>1</v>
      </c>
      <c r="B79">
        <v>7</v>
      </c>
      <c r="C79" t="s">
        <v>10</v>
      </c>
      <c r="D79" t="s">
        <v>86</v>
      </c>
      <c r="E79" t="s">
        <v>92</v>
      </c>
      <c r="F79">
        <v>45</v>
      </c>
      <c r="G79">
        <v>130</v>
      </c>
    </row>
    <row r="80" spans="1:7">
      <c r="A80">
        <f>_xlfn.XLOOKUP(B80,[1]Brand!$A$2:$A$88,[1]Brand!$B$2:$B$88)</f>
        <v>1</v>
      </c>
      <c r="B80">
        <v>7</v>
      </c>
      <c r="C80" t="s">
        <v>10</v>
      </c>
      <c r="D80" t="s">
        <v>86</v>
      </c>
      <c r="E80" t="s">
        <v>93</v>
      </c>
      <c r="F80">
        <v>85</v>
      </c>
      <c r="G80">
        <v>60</v>
      </c>
    </row>
    <row r="81" spans="1:7">
      <c r="A81">
        <f>_xlfn.XLOOKUP(B81,[1]Brand!$A$2:$A$88,[1]Brand!$B$2:$B$88)</f>
        <v>1</v>
      </c>
      <c r="B81">
        <v>7</v>
      </c>
      <c r="C81" t="s">
        <v>10</v>
      </c>
      <c r="D81" t="s">
        <v>86</v>
      </c>
      <c r="E81" t="s">
        <v>94</v>
      </c>
      <c r="F81">
        <v>90</v>
      </c>
      <c r="G81">
        <v>75</v>
      </c>
    </row>
    <row r="82" spans="1:7">
      <c r="A82">
        <f>_xlfn.XLOOKUP(B82,[1]Brand!$A$2:$A$88,[1]Brand!$B$2:$B$88)</f>
        <v>1</v>
      </c>
      <c r="B82">
        <v>8</v>
      </c>
      <c r="C82" t="s">
        <v>10</v>
      </c>
      <c r="D82" t="s">
        <v>95</v>
      </c>
      <c r="E82" t="s">
        <v>11</v>
      </c>
      <c r="F82">
        <v>50</v>
      </c>
      <c r="G82">
        <v>100</v>
      </c>
    </row>
    <row r="83" spans="1:7">
      <c r="A83">
        <f>_xlfn.XLOOKUP(B83,[1]Brand!$A$2:$A$88,[1]Brand!$B$2:$B$88)</f>
        <v>1</v>
      </c>
      <c r="B83">
        <v>8</v>
      </c>
      <c r="C83" t="s">
        <v>10</v>
      </c>
      <c r="D83" t="s">
        <v>95</v>
      </c>
      <c r="E83" t="s">
        <v>96</v>
      </c>
      <c r="F83">
        <v>230</v>
      </c>
      <c r="G83">
        <v>80</v>
      </c>
    </row>
    <row r="84" spans="1:7">
      <c r="A84">
        <f>_xlfn.XLOOKUP(B84,[1]Brand!$A$2:$A$88,[1]Brand!$B$2:$B$88)</f>
        <v>1</v>
      </c>
      <c r="B84">
        <v>8</v>
      </c>
      <c r="C84" t="s">
        <v>10</v>
      </c>
      <c r="D84" t="s">
        <v>95</v>
      </c>
      <c r="E84" t="s">
        <v>97</v>
      </c>
      <c r="F84">
        <v>700</v>
      </c>
      <c r="G84">
        <v>60</v>
      </c>
    </row>
    <row r="85" spans="1:7">
      <c r="A85">
        <f>_xlfn.XLOOKUP(B85,[1]Brand!$A$2:$A$88,[1]Brand!$B$2:$B$88)</f>
        <v>1</v>
      </c>
      <c r="B85">
        <v>8</v>
      </c>
      <c r="C85" t="s">
        <v>10</v>
      </c>
      <c r="D85" t="s">
        <v>95</v>
      </c>
      <c r="E85" t="s">
        <v>98</v>
      </c>
      <c r="F85">
        <v>75</v>
      </c>
      <c r="G85">
        <v>90</v>
      </c>
    </row>
    <row r="86" spans="1:7">
      <c r="A86">
        <f>_xlfn.XLOOKUP(B86,[1]Brand!$A$2:$A$88,[1]Brand!$B$2:$B$88)</f>
        <v>1</v>
      </c>
      <c r="B86">
        <v>8</v>
      </c>
      <c r="C86" t="s">
        <v>10</v>
      </c>
      <c r="D86" t="s">
        <v>95</v>
      </c>
      <c r="E86" t="s">
        <v>99</v>
      </c>
      <c r="F86">
        <v>55</v>
      </c>
      <c r="G86">
        <v>110</v>
      </c>
    </row>
    <row r="87" spans="1:7">
      <c r="A87">
        <f>_xlfn.XLOOKUP(B87,[1]Brand!$A$2:$A$88,[1]Brand!$B$2:$B$88)</f>
        <v>1</v>
      </c>
      <c r="B87">
        <v>8</v>
      </c>
      <c r="C87" t="s">
        <v>10</v>
      </c>
      <c r="D87" t="s">
        <v>95</v>
      </c>
      <c r="E87" t="s">
        <v>100</v>
      </c>
      <c r="F87">
        <v>80</v>
      </c>
      <c r="G87">
        <v>70</v>
      </c>
    </row>
    <row r="88" spans="1:7">
      <c r="A88">
        <f>_xlfn.XLOOKUP(B88,[1]Brand!$A$2:$A$88,[1]Brand!$B$2:$B$88)</f>
        <v>1</v>
      </c>
      <c r="B88">
        <v>8</v>
      </c>
      <c r="C88" t="s">
        <v>10</v>
      </c>
      <c r="D88" t="s">
        <v>95</v>
      </c>
      <c r="E88" t="s">
        <v>101</v>
      </c>
      <c r="F88">
        <v>60</v>
      </c>
      <c r="G88">
        <v>95</v>
      </c>
    </row>
    <row r="89" spans="1:7">
      <c r="A89">
        <f>_xlfn.XLOOKUP(B89,[1]Brand!$A$2:$A$88,[1]Brand!$B$2:$B$88)</f>
        <v>1</v>
      </c>
      <c r="B89">
        <v>8</v>
      </c>
      <c r="C89" t="s">
        <v>10</v>
      </c>
      <c r="D89" t="s">
        <v>95</v>
      </c>
      <c r="E89" t="s">
        <v>15</v>
      </c>
      <c r="F89">
        <v>65</v>
      </c>
      <c r="G89">
        <v>85</v>
      </c>
    </row>
    <row r="90" spans="1:7">
      <c r="A90">
        <f>_xlfn.XLOOKUP(B90,[1]Brand!$A$2:$A$88,[1]Brand!$B$2:$B$88)</f>
        <v>1</v>
      </c>
      <c r="B90">
        <v>8</v>
      </c>
      <c r="C90" t="s">
        <v>10</v>
      </c>
      <c r="D90" t="s">
        <v>95</v>
      </c>
      <c r="E90" t="s">
        <v>17</v>
      </c>
      <c r="F90">
        <v>70</v>
      </c>
      <c r="G90">
        <v>100</v>
      </c>
    </row>
    <row r="91" spans="1:7">
      <c r="A91">
        <f>_xlfn.XLOOKUP(B91,[1]Brand!$A$2:$A$88,[1]Brand!$B$2:$B$88)</f>
        <v>1</v>
      </c>
      <c r="B91">
        <v>8</v>
      </c>
      <c r="C91" t="s">
        <v>10</v>
      </c>
      <c r="D91" t="s">
        <v>95</v>
      </c>
      <c r="E91" t="s">
        <v>102</v>
      </c>
      <c r="F91">
        <v>75</v>
      </c>
      <c r="G91">
        <v>90</v>
      </c>
    </row>
    <row r="92" spans="1:7">
      <c r="A92">
        <f>_xlfn.XLOOKUP(B92,[1]Brand!$A$2:$A$88,[1]Brand!$B$2:$B$88)</f>
        <v>2</v>
      </c>
      <c r="B92">
        <v>9</v>
      </c>
      <c r="C92" t="s">
        <v>103</v>
      </c>
      <c r="D92" t="s">
        <v>104</v>
      </c>
      <c r="E92" t="s">
        <v>105</v>
      </c>
      <c r="F92">
        <v>150</v>
      </c>
      <c r="G92">
        <v>120</v>
      </c>
    </row>
    <row r="93" spans="1:7">
      <c r="A93">
        <f>_xlfn.XLOOKUP(B93,[1]Brand!$A$2:$A$88,[1]Brand!$B$2:$B$88)</f>
        <v>2</v>
      </c>
      <c r="B93">
        <v>9</v>
      </c>
      <c r="C93" t="s">
        <v>103</v>
      </c>
      <c r="D93" t="s">
        <v>104</v>
      </c>
      <c r="E93" t="s">
        <v>106</v>
      </c>
      <c r="F93">
        <v>90</v>
      </c>
      <c r="G93">
        <v>100</v>
      </c>
    </row>
    <row r="94" spans="1:7">
      <c r="A94">
        <f>_xlfn.XLOOKUP(B94,[1]Brand!$A$2:$A$88,[1]Brand!$B$2:$B$88)</f>
        <v>2</v>
      </c>
      <c r="B94">
        <v>9</v>
      </c>
      <c r="C94" t="s">
        <v>103</v>
      </c>
      <c r="D94" t="s">
        <v>104</v>
      </c>
      <c r="E94" t="s">
        <v>107</v>
      </c>
      <c r="F94">
        <v>80</v>
      </c>
      <c r="G94">
        <v>110</v>
      </c>
    </row>
    <row r="95" spans="1:7">
      <c r="A95">
        <f>_xlfn.XLOOKUP(B95,[1]Brand!$A$2:$A$88,[1]Brand!$B$2:$B$88)</f>
        <v>2</v>
      </c>
      <c r="B95">
        <v>9</v>
      </c>
      <c r="C95" t="s">
        <v>103</v>
      </c>
      <c r="D95" t="s">
        <v>104</v>
      </c>
      <c r="E95" t="s">
        <v>108</v>
      </c>
      <c r="F95">
        <v>190</v>
      </c>
      <c r="G95">
        <v>90</v>
      </c>
    </row>
    <row r="96" spans="1:7">
      <c r="A96">
        <f>_xlfn.XLOOKUP(B96,[1]Brand!$A$2:$A$88,[1]Brand!$B$2:$B$88)</f>
        <v>2</v>
      </c>
      <c r="B96">
        <v>9</v>
      </c>
      <c r="C96" t="s">
        <v>103</v>
      </c>
      <c r="D96" t="s">
        <v>104</v>
      </c>
      <c r="E96" t="s">
        <v>109</v>
      </c>
      <c r="F96">
        <v>160</v>
      </c>
      <c r="G96">
        <v>80</v>
      </c>
    </row>
    <row r="97" spans="1:7">
      <c r="A97">
        <f>_xlfn.XLOOKUP(B97,[1]Brand!$A$2:$A$88,[1]Brand!$B$2:$B$88)</f>
        <v>2</v>
      </c>
      <c r="B97">
        <v>9</v>
      </c>
      <c r="C97" t="s">
        <v>103</v>
      </c>
      <c r="D97" t="s">
        <v>104</v>
      </c>
      <c r="E97" t="s">
        <v>110</v>
      </c>
      <c r="F97">
        <v>70</v>
      </c>
      <c r="G97">
        <v>130</v>
      </c>
    </row>
    <row r="98" spans="1:7">
      <c r="A98">
        <f>_xlfn.XLOOKUP(B98,[1]Brand!$A$2:$A$88,[1]Brand!$B$2:$B$88)</f>
        <v>2</v>
      </c>
      <c r="B98">
        <v>9</v>
      </c>
      <c r="C98" t="s">
        <v>103</v>
      </c>
      <c r="D98" t="s">
        <v>104</v>
      </c>
      <c r="E98" t="s">
        <v>111</v>
      </c>
      <c r="F98">
        <v>60</v>
      </c>
      <c r="G98">
        <v>140</v>
      </c>
    </row>
    <row r="99" spans="1:7">
      <c r="A99">
        <f>_xlfn.XLOOKUP(B99,[1]Brand!$A$2:$A$88,[1]Brand!$B$2:$B$88)</f>
        <v>2</v>
      </c>
      <c r="B99">
        <v>9</v>
      </c>
      <c r="C99" t="s">
        <v>103</v>
      </c>
      <c r="D99" t="s">
        <v>104</v>
      </c>
      <c r="E99" t="s">
        <v>112</v>
      </c>
      <c r="F99">
        <v>200</v>
      </c>
      <c r="G99">
        <v>70</v>
      </c>
    </row>
    <row r="100" spans="1:7">
      <c r="A100">
        <f>_xlfn.XLOOKUP(B100,[1]Brand!$A$2:$A$88,[1]Brand!$B$2:$B$88)</f>
        <v>2</v>
      </c>
      <c r="B100">
        <v>9</v>
      </c>
      <c r="C100" t="s">
        <v>103</v>
      </c>
      <c r="D100" t="s">
        <v>104</v>
      </c>
      <c r="E100" t="s">
        <v>113</v>
      </c>
      <c r="F100">
        <v>40</v>
      </c>
      <c r="G100">
        <v>150</v>
      </c>
    </row>
    <row r="101" spans="1:7">
      <c r="A101">
        <f>_xlfn.XLOOKUP(B101,[1]Brand!$A$2:$A$88,[1]Brand!$B$2:$B$88)</f>
        <v>2</v>
      </c>
      <c r="B101">
        <v>9</v>
      </c>
      <c r="C101" t="s">
        <v>103</v>
      </c>
      <c r="D101" t="s">
        <v>104</v>
      </c>
      <c r="E101" t="s">
        <v>114</v>
      </c>
      <c r="F101">
        <v>60</v>
      </c>
      <c r="G101">
        <v>90</v>
      </c>
    </row>
    <row r="102" spans="1:7">
      <c r="A102">
        <f>_xlfn.XLOOKUP(B102,[1]Brand!$A$2:$A$88,[1]Brand!$B$2:$B$88)</f>
        <v>2</v>
      </c>
      <c r="B102">
        <v>10</v>
      </c>
      <c r="C102" t="s">
        <v>115</v>
      </c>
      <c r="D102" t="s">
        <v>116</v>
      </c>
      <c r="E102" t="s">
        <v>117</v>
      </c>
      <c r="F102">
        <v>200</v>
      </c>
      <c r="G102">
        <v>120</v>
      </c>
    </row>
    <row r="103" spans="1:7">
      <c r="A103">
        <f>_xlfn.XLOOKUP(B103,[1]Brand!$A$2:$A$88,[1]Brand!$B$2:$B$88)</f>
        <v>2</v>
      </c>
      <c r="B103">
        <v>10</v>
      </c>
      <c r="C103" t="s">
        <v>115</v>
      </c>
      <c r="D103" t="s">
        <v>116</v>
      </c>
      <c r="E103" t="s">
        <v>118</v>
      </c>
      <c r="F103">
        <v>180</v>
      </c>
      <c r="G103">
        <v>100</v>
      </c>
    </row>
    <row r="104" spans="1:7">
      <c r="A104">
        <f>_xlfn.XLOOKUP(B104,[1]Brand!$A$2:$A$88,[1]Brand!$B$2:$B$88)</f>
        <v>2</v>
      </c>
      <c r="B104">
        <v>10</v>
      </c>
      <c r="C104" t="s">
        <v>119</v>
      </c>
      <c r="D104" t="s">
        <v>116</v>
      </c>
      <c r="E104" t="s">
        <v>120</v>
      </c>
      <c r="F104">
        <v>40</v>
      </c>
      <c r="G104">
        <v>150</v>
      </c>
    </row>
    <row r="105" spans="1:7">
      <c r="A105">
        <f>_xlfn.XLOOKUP(B105,[1]Brand!$A$2:$A$88,[1]Brand!$B$2:$B$88)</f>
        <v>2</v>
      </c>
      <c r="B105">
        <v>10</v>
      </c>
      <c r="C105" t="s">
        <v>119</v>
      </c>
      <c r="D105" t="s">
        <v>116</v>
      </c>
      <c r="E105" t="s">
        <v>121</v>
      </c>
      <c r="F105">
        <v>45</v>
      </c>
      <c r="G105">
        <v>140</v>
      </c>
    </row>
    <row r="106" spans="1:7">
      <c r="A106">
        <f>_xlfn.XLOOKUP(B106,[1]Brand!$A$2:$A$88,[1]Brand!$B$2:$B$88)</f>
        <v>2</v>
      </c>
      <c r="B106">
        <v>10</v>
      </c>
      <c r="C106" t="s">
        <v>122</v>
      </c>
      <c r="D106" t="s">
        <v>116</v>
      </c>
      <c r="E106" t="s">
        <v>123</v>
      </c>
      <c r="F106">
        <v>90</v>
      </c>
      <c r="G106">
        <v>110</v>
      </c>
    </row>
    <row r="107" spans="1:7">
      <c r="A107">
        <f>_xlfn.XLOOKUP(B107,[1]Brand!$A$2:$A$88,[1]Brand!$B$2:$B$88)</f>
        <v>2</v>
      </c>
      <c r="B107">
        <v>10</v>
      </c>
      <c r="C107" t="s">
        <v>124</v>
      </c>
      <c r="D107" t="s">
        <v>116</v>
      </c>
      <c r="E107" t="s">
        <v>125</v>
      </c>
      <c r="F107">
        <v>150</v>
      </c>
      <c r="G107">
        <v>90</v>
      </c>
    </row>
    <row r="108" spans="1:7">
      <c r="A108">
        <f>_xlfn.XLOOKUP(B108,[1]Brand!$A$2:$A$88,[1]Brand!$B$2:$B$88)</f>
        <v>2</v>
      </c>
      <c r="B108">
        <v>10</v>
      </c>
      <c r="C108" t="s">
        <v>126</v>
      </c>
      <c r="D108" t="s">
        <v>116</v>
      </c>
      <c r="E108" t="s">
        <v>127</v>
      </c>
      <c r="F108">
        <v>70</v>
      </c>
      <c r="G108">
        <v>130</v>
      </c>
    </row>
    <row r="109" spans="1:7">
      <c r="A109">
        <f>_xlfn.XLOOKUP(B109,[1]Brand!$A$2:$A$88,[1]Brand!$B$2:$B$88)</f>
        <v>2</v>
      </c>
      <c r="B109">
        <v>10</v>
      </c>
      <c r="C109" t="s">
        <v>128</v>
      </c>
      <c r="D109" t="s">
        <v>116</v>
      </c>
      <c r="E109" t="s">
        <v>129</v>
      </c>
      <c r="F109">
        <v>50</v>
      </c>
      <c r="G109">
        <v>140</v>
      </c>
    </row>
    <row r="110" spans="1:7">
      <c r="A110">
        <f>_xlfn.XLOOKUP(B110,[1]Brand!$A$2:$A$88,[1]Brand!$B$2:$B$88)</f>
        <v>2</v>
      </c>
      <c r="B110">
        <v>10</v>
      </c>
      <c r="C110" t="s">
        <v>130</v>
      </c>
      <c r="D110" t="s">
        <v>116</v>
      </c>
      <c r="E110" t="s">
        <v>131</v>
      </c>
      <c r="F110">
        <v>200</v>
      </c>
      <c r="G110">
        <v>80</v>
      </c>
    </row>
    <row r="111" spans="1:7">
      <c r="A111">
        <f>_xlfn.XLOOKUP(B111,[1]Brand!$A$2:$A$88,[1]Brand!$B$2:$B$88)</f>
        <v>2</v>
      </c>
      <c r="B111">
        <v>10</v>
      </c>
      <c r="C111" t="s">
        <v>132</v>
      </c>
      <c r="D111" t="s">
        <v>116</v>
      </c>
      <c r="E111" t="s">
        <v>133</v>
      </c>
      <c r="F111">
        <v>160</v>
      </c>
      <c r="G111">
        <v>100</v>
      </c>
    </row>
    <row r="112" spans="1:7">
      <c r="A112">
        <f>_xlfn.XLOOKUP(B112,[1]Brand!$A$2:$A$88,[1]Brand!$B$2:$B$88)</f>
        <v>2</v>
      </c>
      <c r="B112">
        <v>11</v>
      </c>
      <c r="C112" t="s">
        <v>119</v>
      </c>
      <c r="D112" t="s">
        <v>134</v>
      </c>
      <c r="E112" t="s">
        <v>135</v>
      </c>
      <c r="F112">
        <v>40</v>
      </c>
      <c r="G112">
        <v>150</v>
      </c>
    </row>
    <row r="113" spans="1:7">
      <c r="A113">
        <f>_xlfn.XLOOKUP(B113,[1]Brand!$A$2:$A$88,[1]Brand!$B$2:$B$88)</f>
        <v>2</v>
      </c>
      <c r="B113">
        <v>11</v>
      </c>
      <c r="C113" t="s">
        <v>119</v>
      </c>
      <c r="D113" t="s">
        <v>134</v>
      </c>
      <c r="E113" t="s">
        <v>136</v>
      </c>
      <c r="F113">
        <v>45</v>
      </c>
      <c r="G113">
        <v>140</v>
      </c>
    </row>
    <row r="114" spans="1:7">
      <c r="A114">
        <f>_xlfn.XLOOKUP(B114,[1]Brand!$A$2:$A$88,[1]Brand!$B$2:$B$88)</f>
        <v>2</v>
      </c>
      <c r="B114">
        <v>11</v>
      </c>
      <c r="C114" t="s">
        <v>122</v>
      </c>
      <c r="D114" t="s">
        <v>134</v>
      </c>
      <c r="E114" t="s">
        <v>137</v>
      </c>
      <c r="F114">
        <v>90</v>
      </c>
      <c r="G114">
        <v>110</v>
      </c>
    </row>
    <row r="115" spans="1:7">
      <c r="A115">
        <f>_xlfn.XLOOKUP(B115,[1]Brand!$A$2:$A$88,[1]Brand!$B$2:$B$88)</f>
        <v>2</v>
      </c>
      <c r="B115">
        <v>11</v>
      </c>
      <c r="C115" t="s">
        <v>122</v>
      </c>
      <c r="D115" t="s">
        <v>134</v>
      </c>
      <c r="E115" t="s">
        <v>138</v>
      </c>
      <c r="F115">
        <v>85</v>
      </c>
      <c r="G115">
        <v>100</v>
      </c>
    </row>
    <row r="116" spans="1:7">
      <c r="A116">
        <f>_xlfn.XLOOKUP(B116,[1]Brand!$A$2:$A$88,[1]Brand!$B$2:$B$88)</f>
        <v>2</v>
      </c>
      <c r="B116">
        <v>11</v>
      </c>
      <c r="C116" t="s">
        <v>139</v>
      </c>
      <c r="D116" t="s">
        <v>134</v>
      </c>
      <c r="E116" t="s">
        <v>140</v>
      </c>
      <c r="F116">
        <v>180</v>
      </c>
      <c r="G116">
        <v>90</v>
      </c>
    </row>
    <row r="117" spans="1:7">
      <c r="A117">
        <f>_xlfn.XLOOKUP(B117,[1]Brand!$A$2:$A$88,[1]Brand!$B$2:$B$88)</f>
        <v>2</v>
      </c>
      <c r="B117">
        <v>11</v>
      </c>
      <c r="C117" t="s">
        <v>139</v>
      </c>
      <c r="D117" t="s">
        <v>134</v>
      </c>
      <c r="E117" t="s">
        <v>141</v>
      </c>
      <c r="F117">
        <v>170</v>
      </c>
      <c r="G117">
        <v>80</v>
      </c>
    </row>
    <row r="118" spans="1:7">
      <c r="A118">
        <f>_xlfn.XLOOKUP(B118,[1]Brand!$A$2:$A$88,[1]Brand!$B$2:$B$88)</f>
        <v>2</v>
      </c>
      <c r="B118">
        <v>11</v>
      </c>
      <c r="C118" t="s">
        <v>128</v>
      </c>
      <c r="D118" t="s">
        <v>134</v>
      </c>
      <c r="E118" t="s">
        <v>142</v>
      </c>
      <c r="F118">
        <v>50</v>
      </c>
      <c r="G118">
        <v>130</v>
      </c>
    </row>
    <row r="119" spans="1:7">
      <c r="A119">
        <f>_xlfn.XLOOKUP(B119,[1]Brand!$A$2:$A$88,[1]Brand!$B$2:$B$88)</f>
        <v>2</v>
      </c>
      <c r="B119">
        <v>11</v>
      </c>
      <c r="C119" t="s">
        <v>128</v>
      </c>
      <c r="D119" t="s">
        <v>134</v>
      </c>
      <c r="E119" t="s">
        <v>143</v>
      </c>
      <c r="F119">
        <v>60</v>
      </c>
      <c r="G119">
        <v>120</v>
      </c>
    </row>
    <row r="120" spans="1:7">
      <c r="A120">
        <f>_xlfn.XLOOKUP(B120,[1]Brand!$A$2:$A$88,[1]Brand!$B$2:$B$88)</f>
        <v>2</v>
      </c>
      <c r="B120">
        <v>11</v>
      </c>
      <c r="C120" t="s">
        <v>126</v>
      </c>
      <c r="D120" t="s">
        <v>134</v>
      </c>
      <c r="E120" t="s">
        <v>127</v>
      </c>
      <c r="F120">
        <v>70</v>
      </c>
      <c r="G120">
        <v>100</v>
      </c>
    </row>
    <row r="121" spans="1:7">
      <c r="A121">
        <f>_xlfn.XLOOKUP(B121,[1]Brand!$A$2:$A$88,[1]Brand!$B$2:$B$88)</f>
        <v>2</v>
      </c>
      <c r="B121">
        <v>11</v>
      </c>
      <c r="C121" t="s">
        <v>130</v>
      </c>
      <c r="D121" t="s">
        <v>134</v>
      </c>
      <c r="E121" t="s">
        <v>144</v>
      </c>
      <c r="F121">
        <v>200</v>
      </c>
      <c r="G121">
        <v>80</v>
      </c>
    </row>
    <row r="122" spans="1:7">
      <c r="A122">
        <f>_xlfn.XLOOKUP(B122,[1]Brand!$A$2:$A$88,[1]Brand!$B$2:$B$88)</f>
        <v>2</v>
      </c>
      <c r="B122">
        <v>12</v>
      </c>
      <c r="C122" t="s">
        <v>145</v>
      </c>
      <c r="D122" t="s">
        <v>146</v>
      </c>
      <c r="E122" t="s">
        <v>147</v>
      </c>
      <c r="F122">
        <v>500</v>
      </c>
      <c r="G122">
        <v>80</v>
      </c>
    </row>
    <row r="123" spans="1:7">
      <c r="A123">
        <f>_xlfn.XLOOKUP(B123,[1]Brand!$A$2:$A$88,[1]Brand!$B$2:$B$88)</f>
        <v>2</v>
      </c>
      <c r="B123">
        <v>12</v>
      </c>
      <c r="C123" t="s">
        <v>145</v>
      </c>
      <c r="D123" t="s">
        <v>146</v>
      </c>
      <c r="E123" t="s">
        <v>148</v>
      </c>
      <c r="F123">
        <v>480</v>
      </c>
      <c r="G123">
        <v>90</v>
      </c>
    </row>
    <row r="124" spans="1:7">
      <c r="A124">
        <f>_xlfn.XLOOKUP(B124,[1]Brand!$A$2:$A$88,[1]Brand!$B$2:$B$88)</f>
        <v>2</v>
      </c>
      <c r="B124">
        <v>12</v>
      </c>
      <c r="C124" t="s">
        <v>145</v>
      </c>
      <c r="D124" t="s">
        <v>146</v>
      </c>
      <c r="E124" t="s">
        <v>149</v>
      </c>
      <c r="F124">
        <v>200</v>
      </c>
      <c r="G124">
        <v>100</v>
      </c>
    </row>
    <row r="125" spans="1:7">
      <c r="A125">
        <f>_xlfn.XLOOKUP(B125,[1]Brand!$A$2:$A$88,[1]Brand!$B$2:$B$88)</f>
        <v>2</v>
      </c>
      <c r="B125">
        <v>12</v>
      </c>
      <c r="C125" t="s">
        <v>145</v>
      </c>
      <c r="D125" t="s">
        <v>146</v>
      </c>
      <c r="E125" t="s">
        <v>150</v>
      </c>
      <c r="F125">
        <v>180</v>
      </c>
      <c r="G125">
        <v>110</v>
      </c>
    </row>
    <row r="126" spans="1:7">
      <c r="A126">
        <f>_xlfn.XLOOKUP(B126,[1]Brand!$A$2:$A$88,[1]Brand!$B$2:$B$88)</f>
        <v>2</v>
      </c>
      <c r="B126">
        <v>12</v>
      </c>
      <c r="C126" t="s">
        <v>145</v>
      </c>
      <c r="D126" t="s">
        <v>146</v>
      </c>
      <c r="E126" t="s">
        <v>151</v>
      </c>
      <c r="F126">
        <v>40</v>
      </c>
      <c r="G126">
        <v>150</v>
      </c>
    </row>
    <row r="127" spans="1:7">
      <c r="A127">
        <f>_xlfn.XLOOKUP(B127,[1]Brand!$A$2:$A$88,[1]Brand!$B$2:$B$88)</f>
        <v>2</v>
      </c>
      <c r="B127">
        <v>12</v>
      </c>
      <c r="C127" t="s">
        <v>145</v>
      </c>
      <c r="D127" t="s">
        <v>146</v>
      </c>
      <c r="E127" t="s">
        <v>152</v>
      </c>
      <c r="F127">
        <v>220</v>
      </c>
      <c r="G127">
        <v>70</v>
      </c>
    </row>
    <row r="128" spans="1:7">
      <c r="A128">
        <f>_xlfn.XLOOKUP(B128,[1]Brand!$A$2:$A$88,[1]Brand!$B$2:$B$88)</f>
        <v>2</v>
      </c>
      <c r="B128">
        <v>12</v>
      </c>
      <c r="C128" t="s">
        <v>145</v>
      </c>
      <c r="D128" t="s">
        <v>146</v>
      </c>
      <c r="E128" t="s">
        <v>153</v>
      </c>
      <c r="F128">
        <v>250</v>
      </c>
      <c r="G128">
        <v>60</v>
      </c>
    </row>
    <row r="129" spans="1:7">
      <c r="A129">
        <f>_xlfn.XLOOKUP(B129,[1]Brand!$A$2:$A$88,[1]Brand!$B$2:$B$88)</f>
        <v>2</v>
      </c>
      <c r="B129">
        <v>12</v>
      </c>
      <c r="C129" t="s">
        <v>145</v>
      </c>
      <c r="D129" t="s">
        <v>146</v>
      </c>
      <c r="E129" t="s">
        <v>154</v>
      </c>
      <c r="F129">
        <v>190</v>
      </c>
      <c r="G129">
        <v>95</v>
      </c>
    </row>
    <row r="130" spans="1:7">
      <c r="A130">
        <f>_xlfn.XLOOKUP(B130,[1]Brand!$A$2:$A$88,[1]Brand!$B$2:$B$88)</f>
        <v>2</v>
      </c>
      <c r="B130">
        <v>12</v>
      </c>
      <c r="C130" t="s">
        <v>145</v>
      </c>
      <c r="D130" t="s">
        <v>146</v>
      </c>
      <c r="E130" t="s">
        <v>155</v>
      </c>
      <c r="F130">
        <v>210</v>
      </c>
      <c r="G130">
        <v>85</v>
      </c>
    </row>
    <row r="131" spans="1:7">
      <c r="A131">
        <f>_xlfn.XLOOKUP(B131,[1]Brand!$A$2:$A$88,[1]Brand!$B$2:$B$88)</f>
        <v>2</v>
      </c>
      <c r="B131">
        <v>12</v>
      </c>
      <c r="C131" t="s">
        <v>145</v>
      </c>
      <c r="D131" t="s">
        <v>146</v>
      </c>
      <c r="E131" t="s">
        <v>156</v>
      </c>
      <c r="F131">
        <v>230</v>
      </c>
      <c r="G131">
        <v>75</v>
      </c>
    </row>
    <row r="132" spans="1:7">
      <c r="A132">
        <f>_xlfn.XLOOKUP(B132,[1]Brand!$A$2:$A$88,[1]Brand!$B$2:$B$88)</f>
        <v>2</v>
      </c>
      <c r="B132">
        <v>13</v>
      </c>
      <c r="C132" t="s">
        <v>115</v>
      </c>
      <c r="D132" t="s">
        <v>157</v>
      </c>
      <c r="E132" t="s">
        <v>158</v>
      </c>
      <c r="F132">
        <v>180</v>
      </c>
      <c r="G132">
        <v>100</v>
      </c>
    </row>
    <row r="133" spans="1:7">
      <c r="A133">
        <f>_xlfn.XLOOKUP(B133,[1]Brand!$A$2:$A$88,[1]Brand!$B$2:$B$88)</f>
        <v>2</v>
      </c>
      <c r="B133">
        <v>13</v>
      </c>
      <c r="C133" t="s">
        <v>115</v>
      </c>
      <c r="D133" t="s">
        <v>157</v>
      </c>
      <c r="E133" t="s">
        <v>159</v>
      </c>
      <c r="F133">
        <v>150</v>
      </c>
      <c r="G133">
        <v>120</v>
      </c>
    </row>
    <row r="134" spans="1:7">
      <c r="A134">
        <f>_xlfn.XLOOKUP(B134,[1]Brand!$A$2:$A$88,[1]Brand!$B$2:$B$88)</f>
        <v>2</v>
      </c>
      <c r="B134">
        <v>13</v>
      </c>
      <c r="C134" t="s">
        <v>115</v>
      </c>
      <c r="D134" t="s">
        <v>157</v>
      </c>
      <c r="E134" t="s">
        <v>160</v>
      </c>
      <c r="F134">
        <v>150</v>
      </c>
      <c r="G134">
        <v>110</v>
      </c>
    </row>
    <row r="135" spans="1:7">
      <c r="A135">
        <f>_xlfn.XLOOKUP(B135,[1]Brand!$A$2:$A$88,[1]Brand!$B$2:$B$88)</f>
        <v>2</v>
      </c>
      <c r="B135">
        <v>13</v>
      </c>
      <c r="C135" t="s">
        <v>115</v>
      </c>
      <c r="D135" t="s">
        <v>157</v>
      </c>
      <c r="E135" t="s">
        <v>161</v>
      </c>
      <c r="F135">
        <v>90</v>
      </c>
      <c r="G135">
        <v>130</v>
      </c>
    </row>
    <row r="136" spans="1:7">
      <c r="A136">
        <f>_xlfn.XLOOKUP(B136,[1]Brand!$A$2:$A$88,[1]Brand!$B$2:$B$88)</f>
        <v>2</v>
      </c>
      <c r="B136">
        <v>13</v>
      </c>
      <c r="C136" t="s">
        <v>115</v>
      </c>
      <c r="D136" t="s">
        <v>157</v>
      </c>
      <c r="E136" t="s">
        <v>162</v>
      </c>
      <c r="F136">
        <v>60</v>
      </c>
      <c r="G136">
        <v>140</v>
      </c>
    </row>
    <row r="137" spans="1:7">
      <c r="A137">
        <f>_xlfn.XLOOKUP(B137,[1]Brand!$A$2:$A$88,[1]Brand!$B$2:$B$88)</f>
        <v>2</v>
      </c>
      <c r="B137">
        <v>13</v>
      </c>
      <c r="C137" t="s">
        <v>115</v>
      </c>
      <c r="D137" t="s">
        <v>157</v>
      </c>
      <c r="E137" t="s">
        <v>163</v>
      </c>
      <c r="F137">
        <v>170</v>
      </c>
      <c r="G137">
        <v>90</v>
      </c>
    </row>
    <row r="138" spans="1:7">
      <c r="A138">
        <f>_xlfn.XLOOKUP(B138,[1]Brand!$A$2:$A$88,[1]Brand!$B$2:$B$88)</f>
        <v>2</v>
      </c>
      <c r="B138">
        <v>13</v>
      </c>
      <c r="C138" t="s">
        <v>115</v>
      </c>
      <c r="D138" t="s">
        <v>157</v>
      </c>
      <c r="E138" t="s">
        <v>164</v>
      </c>
      <c r="F138">
        <v>160</v>
      </c>
      <c r="G138">
        <v>80</v>
      </c>
    </row>
    <row r="139" spans="1:7">
      <c r="A139">
        <f>_xlfn.XLOOKUP(B139,[1]Brand!$A$2:$A$88,[1]Brand!$B$2:$B$88)</f>
        <v>2</v>
      </c>
      <c r="B139">
        <v>13</v>
      </c>
      <c r="C139" t="s">
        <v>115</v>
      </c>
      <c r="D139" t="s">
        <v>157</v>
      </c>
      <c r="E139" t="s">
        <v>165</v>
      </c>
      <c r="F139">
        <v>200</v>
      </c>
      <c r="G139">
        <v>70</v>
      </c>
    </row>
    <row r="140" spans="1:7">
      <c r="A140">
        <f>_xlfn.XLOOKUP(B140,[1]Brand!$A$2:$A$88,[1]Brand!$B$2:$B$88)</f>
        <v>2</v>
      </c>
      <c r="B140">
        <v>13</v>
      </c>
      <c r="C140" t="s">
        <v>115</v>
      </c>
      <c r="D140" t="s">
        <v>157</v>
      </c>
      <c r="E140" t="s">
        <v>166</v>
      </c>
      <c r="F140">
        <v>190</v>
      </c>
      <c r="G140">
        <v>60</v>
      </c>
    </row>
    <row r="141" spans="1:7">
      <c r="A141">
        <f>_xlfn.XLOOKUP(B141,[1]Brand!$A$2:$A$88,[1]Brand!$B$2:$B$88)</f>
        <v>2</v>
      </c>
      <c r="B141">
        <v>13</v>
      </c>
      <c r="C141" t="s">
        <v>115</v>
      </c>
      <c r="D141" t="s">
        <v>157</v>
      </c>
      <c r="E141" t="s">
        <v>167</v>
      </c>
      <c r="F141">
        <v>180</v>
      </c>
      <c r="G141">
        <v>100</v>
      </c>
    </row>
    <row r="142" spans="1:7">
      <c r="A142">
        <f>_xlfn.XLOOKUP(B142,[1]Brand!$A$2:$A$88,[1]Brand!$B$2:$B$88)</f>
        <v>2</v>
      </c>
      <c r="B142">
        <v>14</v>
      </c>
      <c r="C142" t="s">
        <v>168</v>
      </c>
      <c r="D142" t="s">
        <v>169</v>
      </c>
      <c r="E142" t="s">
        <v>170</v>
      </c>
      <c r="F142">
        <v>10</v>
      </c>
      <c r="G142">
        <v>150</v>
      </c>
    </row>
    <row r="143" spans="1:7">
      <c r="A143">
        <f>_xlfn.XLOOKUP(B143,[1]Brand!$A$2:$A$88,[1]Brand!$B$2:$B$88)</f>
        <v>2</v>
      </c>
      <c r="B143">
        <v>14</v>
      </c>
      <c r="C143" t="s">
        <v>168</v>
      </c>
      <c r="D143" t="s">
        <v>169</v>
      </c>
      <c r="E143" t="s">
        <v>171</v>
      </c>
      <c r="F143">
        <v>20</v>
      </c>
      <c r="G143">
        <v>140</v>
      </c>
    </row>
    <row r="144" spans="1:7">
      <c r="A144">
        <f>_xlfn.XLOOKUP(B144,[1]Brand!$A$2:$A$88,[1]Brand!$B$2:$B$88)</f>
        <v>2</v>
      </c>
      <c r="B144">
        <v>14</v>
      </c>
      <c r="C144" t="s">
        <v>168</v>
      </c>
      <c r="D144" t="s">
        <v>169</v>
      </c>
      <c r="E144" t="s">
        <v>172</v>
      </c>
      <c r="F144">
        <v>99</v>
      </c>
      <c r="G144">
        <v>120</v>
      </c>
    </row>
    <row r="145" spans="1:7">
      <c r="A145">
        <f>_xlfn.XLOOKUP(B145,[1]Brand!$A$2:$A$88,[1]Brand!$B$2:$B$88)</f>
        <v>2</v>
      </c>
      <c r="B145">
        <v>14</v>
      </c>
      <c r="C145" t="s">
        <v>168</v>
      </c>
      <c r="D145" t="s">
        <v>169</v>
      </c>
      <c r="E145" t="s">
        <v>173</v>
      </c>
      <c r="F145">
        <v>140</v>
      </c>
      <c r="G145">
        <v>100</v>
      </c>
    </row>
    <row r="146" spans="1:7">
      <c r="A146">
        <f>_xlfn.XLOOKUP(B146,[1]Brand!$A$2:$A$88,[1]Brand!$B$2:$B$88)</f>
        <v>2</v>
      </c>
      <c r="B146">
        <v>14</v>
      </c>
      <c r="C146" t="s">
        <v>168</v>
      </c>
      <c r="D146" t="s">
        <v>169</v>
      </c>
      <c r="E146" t="s">
        <v>174</v>
      </c>
      <c r="F146">
        <v>105</v>
      </c>
      <c r="G146">
        <v>110</v>
      </c>
    </row>
    <row r="147" spans="1:7">
      <c r="A147">
        <f>_xlfn.XLOOKUP(B147,[1]Brand!$A$2:$A$88,[1]Brand!$B$2:$B$88)</f>
        <v>2</v>
      </c>
      <c r="B147">
        <v>14</v>
      </c>
      <c r="C147" t="s">
        <v>168</v>
      </c>
      <c r="D147" t="s">
        <v>169</v>
      </c>
      <c r="E147" t="s">
        <v>175</v>
      </c>
      <c r="F147">
        <v>150</v>
      </c>
      <c r="G147">
        <v>90</v>
      </c>
    </row>
    <row r="148" spans="1:7">
      <c r="A148">
        <f>_xlfn.XLOOKUP(B148,[1]Brand!$A$2:$A$88,[1]Brand!$B$2:$B$88)</f>
        <v>2</v>
      </c>
      <c r="B148">
        <v>14</v>
      </c>
      <c r="C148" t="s">
        <v>168</v>
      </c>
      <c r="D148" t="s">
        <v>169</v>
      </c>
      <c r="E148" t="s">
        <v>176</v>
      </c>
      <c r="F148">
        <v>12</v>
      </c>
      <c r="G148">
        <v>130</v>
      </c>
    </row>
    <row r="149" spans="1:7">
      <c r="A149">
        <f>_xlfn.XLOOKUP(B149,[1]Brand!$A$2:$A$88,[1]Brand!$B$2:$B$88)</f>
        <v>2</v>
      </c>
      <c r="B149">
        <v>14</v>
      </c>
      <c r="C149" t="s">
        <v>168</v>
      </c>
      <c r="D149" t="s">
        <v>169</v>
      </c>
      <c r="E149" t="s">
        <v>177</v>
      </c>
      <c r="F149">
        <v>22</v>
      </c>
      <c r="G149">
        <v>120</v>
      </c>
    </row>
    <row r="150" spans="1:7">
      <c r="A150">
        <f>_xlfn.XLOOKUP(B150,[1]Brand!$A$2:$A$88,[1]Brand!$B$2:$B$88)</f>
        <v>2</v>
      </c>
      <c r="B150">
        <v>14</v>
      </c>
      <c r="C150" t="s">
        <v>168</v>
      </c>
      <c r="D150" t="s">
        <v>169</v>
      </c>
      <c r="E150" t="s">
        <v>178</v>
      </c>
      <c r="F150">
        <v>110</v>
      </c>
      <c r="G150">
        <v>100</v>
      </c>
    </row>
    <row r="151" spans="1:7">
      <c r="A151">
        <f>_xlfn.XLOOKUP(B151,[1]Brand!$A$2:$A$88,[1]Brand!$B$2:$B$88)</f>
        <v>2</v>
      </c>
      <c r="B151">
        <v>14</v>
      </c>
      <c r="C151" t="s">
        <v>168</v>
      </c>
      <c r="D151" t="s">
        <v>169</v>
      </c>
      <c r="E151" t="s">
        <v>179</v>
      </c>
      <c r="F151">
        <v>160</v>
      </c>
      <c r="G151">
        <v>80</v>
      </c>
    </row>
    <row r="152" spans="1:7">
      <c r="A152">
        <f>_xlfn.XLOOKUP(B152,[1]Brand!$A$2:$A$88,[1]Brand!$B$2:$B$88)</f>
        <v>2</v>
      </c>
      <c r="B152">
        <v>15</v>
      </c>
      <c r="C152" t="s">
        <v>180</v>
      </c>
      <c r="D152" t="s">
        <v>181</v>
      </c>
      <c r="E152" t="s">
        <v>182</v>
      </c>
      <c r="F152">
        <v>349</v>
      </c>
      <c r="G152">
        <v>100</v>
      </c>
    </row>
    <row r="153" spans="1:7">
      <c r="A153">
        <f>_xlfn.XLOOKUP(B153,[1]Brand!$A$2:$A$88,[1]Brand!$B$2:$B$88)</f>
        <v>2</v>
      </c>
      <c r="B153">
        <v>15</v>
      </c>
      <c r="C153" t="s">
        <v>183</v>
      </c>
      <c r="D153" t="s">
        <v>181</v>
      </c>
      <c r="E153" t="s">
        <v>184</v>
      </c>
      <c r="F153">
        <v>128</v>
      </c>
      <c r="G153">
        <v>120</v>
      </c>
    </row>
    <row r="154" spans="1:7">
      <c r="A154">
        <f>_xlfn.XLOOKUP(B154,[1]Brand!$A$2:$A$88,[1]Brand!$B$2:$B$88)</f>
        <v>2</v>
      </c>
      <c r="B154">
        <v>15</v>
      </c>
      <c r="C154" t="s">
        <v>185</v>
      </c>
      <c r="D154" t="s">
        <v>181</v>
      </c>
      <c r="E154" t="s">
        <v>186</v>
      </c>
      <c r="F154">
        <v>115</v>
      </c>
      <c r="G154">
        <v>90</v>
      </c>
    </row>
    <row r="155" spans="1:7">
      <c r="A155">
        <f>_xlfn.XLOOKUP(B155,[1]Brand!$A$2:$A$88,[1]Brand!$B$2:$B$88)</f>
        <v>2</v>
      </c>
      <c r="B155">
        <v>15</v>
      </c>
      <c r="C155" t="s">
        <v>139</v>
      </c>
      <c r="D155" t="s">
        <v>181</v>
      </c>
      <c r="E155" t="s">
        <v>187</v>
      </c>
      <c r="F155">
        <v>274</v>
      </c>
      <c r="G155">
        <v>80</v>
      </c>
    </row>
    <row r="156" spans="1:7">
      <c r="A156">
        <f>_xlfn.XLOOKUP(B156,[1]Brand!$A$2:$A$88,[1]Brand!$B$2:$B$88)</f>
        <v>2</v>
      </c>
      <c r="B156">
        <v>15</v>
      </c>
      <c r="C156" t="s">
        <v>139</v>
      </c>
      <c r="D156" t="s">
        <v>181</v>
      </c>
      <c r="E156" t="s">
        <v>188</v>
      </c>
      <c r="F156">
        <v>125</v>
      </c>
      <c r="G156">
        <v>110</v>
      </c>
    </row>
    <row r="157" spans="1:7">
      <c r="A157">
        <f>_xlfn.XLOOKUP(B157,[1]Brand!$A$2:$A$88,[1]Brand!$B$2:$B$88)</f>
        <v>2</v>
      </c>
      <c r="B157">
        <v>15</v>
      </c>
      <c r="C157" t="s">
        <v>180</v>
      </c>
      <c r="D157" t="s">
        <v>181</v>
      </c>
      <c r="E157" t="s">
        <v>189</v>
      </c>
      <c r="F157">
        <v>199</v>
      </c>
      <c r="G157">
        <v>150</v>
      </c>
    </row>
    <row r="158" spans="1:7">
      <c r="A158">
        <f>_xlfn.XLOOKUP(B158,[1]Brand!$A$2:$A$88,[1]Brand!$B$2:$B$88)</f>
        <v>2</v>
      </c>
      <c r="B158">
        <v>15</v>
      </c>
      <c r="C158" t="s">
        <v>190</v>
      </c>
      <c r="D158" t="s">
        <v>181</v>
      </c>
      <c r="E158" t="s">
        <v>191</v>
      </c>
      <c r="F158">
        <v>99</v>
      </c>
      <c r="G158">
        <v>130</v>
      </c>
    </row>
    <row r="159" spans="1:7">
      <c r="A159">
        <f>_xlfn.XLOOKUP(B159,[1]Brand!$A$2:$A$88,[1]Brand!$B$2:$B$88)</f>
        <v>2</v>
      </c>
      <c r="B159">
        <v>15</v>
      </c>
      <c r="C159" t="s">
        <v>185</v>
      </c>
      <c r="D159" t="s">
        <v>181</v>
      </c>
      <c r="E159" t="s">
        <v>192</v>
      </c>
      <c r="F159">
        <v>149</v>
      </c>
      <c r="G159">
        <v>140</v>
      </c>
    </row>
    <row r="160" spans="1:7">
      <c r="A160">
        <f>_xlfn.XLOOKUP(B160,[1]Brand!$A$2:$A$88,[1]Brand!$B$2:$B$88)</f>
        <v>2</v>
      </c>
      <c r="B160">
        <v>15</v>
      </c>
      <c r="C160" t="s">
        <v>183</v>
      </c>
      <c r="D160" t="s">
        <v>181</v>
      </c>
      <c r="E160" t="s">
        <v>193</v>
      </c>
      <c r="F160">
        <v>199</v>
      </c>
      <c r="G160">
        <v>100</v>
      </c>
    </row>
    <row r="161" spans="1:7">
      <c r="A161">
        <f>_xlfn.XLOOKUP(B161,[1]Brand!$A$2:$A$88,[1]Brand!$B$2:$B$88)</f>
        <v>2</v>
      </c>
      <c r="B161">
        <v>15</v>
      </c>
      <c r="C161" t="s">
        <v>180</v>
      </c>
      <c r="D161" t="s">
        <v>181</v>
      </c>
      <c r="E161" t="s">
        <v>194</v>
      </c>
      <c r="F161">
        <v>299</v>
      </c>
      <c r="G161">
        <v>70</v>
      </c>
    </row>
    <row r="162" spans="1:7">
      <c r="A162">
        <f>_xlfn.XLOOKUP(B162,[1]Brand!$A$2:$A$88,[1]Brand!$B$2:$B$88)</f>
        <v>2</v>
      </c>
      <c r="B162">
        <v>16</v>
      </c>
      <c r="C162" t="s">
        <v>195</v>
      </c>
      <c r="D162" t="s">
        <v>196</v>
      </c>
      <c r="E162" t="s">
        <v>197</v>
      </c>
      <c r="F162">
        <v>340</v>
      </c>
      <c r="G162">
        <v>100</v>
      </c>
    </row>
    <row r="163" spans="1:7">
      <c r="A163">
        <f>_xlfn.XLOOKUP(B163,[1]Brand!$A$2:$A$88,[1]Brand!$B$2:$B$88)</f>
        <v>2</v>
      </c>
      <c r="B163">
        <v>16</v>
      </c>
      <c r="C163" t="s">
        <v>180</v>
      </c>
      <c r="D163" t="s">
        <v>196</v>
      </c>
      <c r="E163" t="s">
        <v>198</v>
      </c>
      <c r="F163">
        <v>75</v>
      </c>
      <c r="G163">
        <v>150</v>
      </c>
    </row>
    <row r="164" spans="1:7">
      <c r="A164">
        <f>_xlfn.XLOOKUP(B164,[1]Brand!$A$2:$A$88,[1]Brand!$B$2:$B$88)</f>
        <v>2</v>
      </c>
      <c r="B164">
        <v>16</v>
      </c>
      <c r="C164" t="s">
        <v>195</v>
      </c>
      <c r="D164" t="s">
        <v>196</v>
      </c>
      <c r="E164" t="s">
        <v>199</v>
      </c>
      <c r="F164">
        <v>200</v>
      </c>
      <c r="G164">
        <v>120</v>
      </c>
    </row>
    <row r="165" spans="1:7">
      <c r="A165">
        <f>_xlfn.XLOOKUP(B165,[1]Brand!$A$2:$A$88,[1]Brand!$B$2:$B$88)</f>
        <v>2</v>
      </c>
      <c r="B165">
        <v>16</v>
      </c>
      <c r="C165" t="s">
        <v>180</v>
      </c>
      <c r="D165" t="s">
        <v>196</v>
      </c>
      <c r="E165" t="s">
        <v>200</v>
      </c>
      <c r="F165">
        <v>299</v>
      </c>
      <c r="G165">
        <v>90</v>
      </c>
    </row>
    <row r="166" spans="1:7">
      <c r="A166">
        <f>_xlfn.XLOOKUP(B166,[1]Brand!$A$2:$A$88,[1]Brand!$B$2:$B$88)</f>
        <v>2</v>
      </c>
      <c r="B166">
        <v>16</v>
      </c>
      <c r="C166" t="s">
        <v>183</v>
      </c>
      <c r="D166" t="s">
        <v>196</v>
      </c>
      <c r="E166" t="s">
        <v>201</v>
      </c>
      <c r="F166">
        <v>250</v>
      </c>
      <c r="G166">
        <v>80</v>
      </c>
    </row>
    <row r="167" spans="1:7">
      <c r="A167">
        <f>_xlfn.XLOOKUP(B167,[1]Brand!$A$2:$A$88,[1]Brand!$B$2:$B$88)</f>
        <v>2</v>
      </c>
      <c r="B167">
        <v>16</v>
      </c>
      <c r="C167" t="s">
        <v>195</v>
      </c>
      <c r="D167" t="s">
        <v>196</v>
      </c>
      <c r="E167" t="s">
        <v>202</v>
      </c>
      <c r="F167">
        <v>180</v>
      </c>
      <c r="G167">
        <v>110</v>
      </c>
    </row>
    <row r="168" spans="1:7">
      <c r="A168">
        <f>_xlfn.XLOOKUP(B168,[1]Brand!$A$2:$A$88,[1]Brand!$B$2:$B$88)</f>
        <v>2</v>
      </c>
      <c r="B168">
        <v>16</v>
      </c>
      <c r="C168" t="s">
        <v>180</v>
      </c>
      <c r="D168" t="s">
        <v>196</v>
      </c>
      <c r="E168" t="s">
        <v>203</v>
      </c>
      <c r="F168">
        <v>350</v>
      </c>
      <c r="G168">
        <v>70</v>
      </c>
    </row>
    <row r="169" spans="1:7">
      <c r="A169">
        <f>_xlfn.XLOOKUP(B169,[1]Brand!$A$2:$A$88,[1]Brand!$B$2:$B$88)</f>
        <v>2</v>
      </c>
      <c r="B169">
        <v>16</v>
      </c>
      <c r="C169" t="s">
        <v>185</v>
      </c>
      <c r="D169" t="s">
        <v>196</v>
      </c>
      <c r="E169" t="s">
        <v>204</v>
      </c>
      <c r="F169">
        <v>150</v>
      </c>
      <c r="G169">
        <v>130</v>
      </c>
    </row>
    <row r="170" spans="1:7">
      <c r="A170">
        <f>_xlfn.XLOOKUP(B170,[1]Brand!$A$2:$A$88,[1]Brand!$B$2:$B$88)</f>
        <v>2</v>
      </c>
      <c r="B170">
        <v>16</v>
      </c>
      <c r="C170" t="s">
        <v>195</v>
      </c>
      <c r="D170" t="s">
        <v>196</v>
      </c>
      <c r="E170" t="s">
        <v>205</v>
      </c>
      <c r="F170">
        <v>220</v>
      </c>
      <c r="G170">
        <v>100</v>
      </c>
    </row>
    <row r="171" spans="1:7">
      <c r="A171">
        <f>_xlfn.XLOOKUP(B171,[1]Brand!$A$2:$A$88,[1]Brand!$B$2:$B$88)</f>
        <v>2</v>
      </c>
      <c r="B171">
        <v>16</v>
      </c>
      <c r="C171" t="s">
        <v>180</v>
      </c>
      <c r="D171" t="s">
        <v>196</v>
      </c>
      <c r="E171" t="s">
        <v>206</v>
      </c>
      <c r="F171">
        <v>320</v>
      </c>
      <c r="G171">
        <v>60</v>
      </c>
    </row>
    <row r="172" spans="1:7">
      <c r="A172">
        <f>_xlfn.XLOOKUP(B172,[1]Brand!$A$2:$A$88,[1]Brand!$B$2:$B$88)</f>
        <v>3</v>
      </c>
      <c r="B172">
        <v>17</v>
      </c>
      <c r="C172" t="s">
        <v>207</v>
      </c>
      <c r="D172" t="s">
        <v>208</v>
      </c>
      <c r="E172" t="s">
        <v>209</v>
      </c>
      <c r="F172">
        <v>55</v>
      </c>
      <c r="G172">
        <v>100</v>
      </c>
    </row>
    <row r="173" spans="1:7">
      <c r="A173">
        <f>_xlfn.XLOOKUP(B173,[1]Brand!$A$2:$A$88,[1]Brand!$B$2:$B$88)</f>
        <v>3</v>
      </c>
      <c r="B173">
        <v>17</v>
      </c>
      <c r="C173" t="s">
        <v>207</v>
      </c>
      <c r="D173" t="s">
        <v>208</v>
      </c>
      <c r="E173" t="s">
        <v>210</v>
      </c>
      <c r="F173">
        <v>120</v>
      </c>
      <c r="G173">
        <v>80</v>
      </c>
    </row>
    <row r="174" spans="1:7">
      <c r="A174">
        <f>_xlfn.XLOOKUP(B174,[1]Brand!$A$2:$A$88,[1]Brand!$B$2:$B$88)</f>
        <v>3</v>
      </c>
      <c r="B174">
        <v>17</v>
      </c>
      <c r="C174" t="s">
        <v>207</v>
      </c>
      <c r="D174" t="s">
        <v>208</v>
      </c>
      <c r="E174" t="s">
        <v>211</v>
      </c>
      <c r="F174">
        <v>65</v>
      </c>
      <c r="G174">
        <v>90</v>
      </c>
    </row>
    <row r="175" spans="1:7">
      <c r="A175">
        <f>_xlfn.XLOOKUP(B175,[1]Brand!$A$2:$A$88,[1]Brand!$B$2:$B$88)</f>
        <v>3</v>
      </c>
      <c r="B175">
        <v>17</v>
      </c>
      <c r="C175" t="s">
        <v>207</v>
      </c>
      <c r="D175" t="s">
        <v>208</v>
      </c>
      <c r="E175" t="s">
        <v>212</v>
      </c>
      <c r="F175">
        <v>75</v>
      </c>
      <c r="G175">
        <v>70</v>
      </c>
    </row>
    <row r="176" spans="1:7">
      <c r="A176">
        <f>_xlfn.XLOOKUP(B176,[1]Brand!$A$2:$A$88,[1]Brand!$B$2:$B$88)</f>
        <v>3</v>
      </c>
      <c r="B176">
        <v>17</v>
      </c>
      <c r="C176" t="s">
        <v>207</v>
      </c>
      <c r="D176" t="s">
        <v>208</v>
      </c>
      <c r="E176" t="s">
        <v>213</v>
      </c>
      <c r="F176">
        <v>300</v>
      </c>
      <c r="G176">
        <v>60</v>
      </c>
    </row>
    <row r="177" spans="1:7">
      <c r="A177">
        <f>_xlfn.XLOOKUP(B177,[1]Brand!$A$2:$A$88,[1]Brand!$B$2:$B$88)</f>
        <v>3</v>
      </c>
      <c r="B177">
        <v>17</v>
      </c>
      <c r="C177" t="s">
        <v>214</v>
      </c>
      <c r="D177" t="s">
        <v>208</v>
      </c>
      <c r="E177" t="s">
        <v>215</v>
      </c>
      <c r="F177">
        <v>40</v>
      </c>
      <c r="G177">
        <v>120</v>
      </c>
    </row>
    <row r="178" spans="1:7">
      <c r="A178">
        <f>_xlfn.XLOOKUP(B178,[1]Brand!$A$2:$A$88,[1]Brand!$B$2:$B$88)</f>
        <v>3</v>
      </c>
      <c r="B178">
        <v>17</v>
      </c>
      <c r="C178" t="s">
        <v>214</v>
      </c>
      <c r="D178" t="s">
        <v>208</v>
      </c>
      <c r="E178" t="s">
        <v>216</v>
      </c>
      <c r="F178">
        <v>40</v>
      </c>
      <c r="G178">
        <v>110</v>
      </c>
    </row>
    <row r="179" spans="1:7">
      <c r="A179">
        <f>_xlfn.XLOOKUP(B179,[1]Brand!$A$2:$A$88,[1]Brand!$B$2:$B$88)</f>
        <v>3</v>
      </c>
      <c r="B179">
        <v>17</v>
      </c>
      <c r="C179" t="s">
        <v>207</v>
      </c>
      <c r="D179" t="s">
        <v>208</v>
      </c>
      <c r="E179" t="s">
        <v>217</v>
      </c>
      <c r="F179">
        <v>150</v>
      </c>
    </row>
    <row r="180" spans="1:7">
      <c r="A180">
        <f>_xlfn.XLOOKUP(B180,[1]Brand!$A$2:$A$88,[1]Brand!$B$2:$B$88)</f>
        <v>3</v>
      </c>
      <c r="B180">
        <v>17</v>
      </c>
      <c r="C180" t="s">
        <v>207</v>
      </c>
      <c r="D180" t="s">
        <v>208</v>
      </c>
      <c r="E180" t="s">
        <v>218</v>
      </c>
      <c r="F180">
        <v>200</v>
      </c>
      <c r="G180">
        <v>70</v>
      </c>
    </row>
    <row r="181" spans="1:7">
      <c r="A181">
        <f>_xlfn.XLOOKUP(B181,[1]Brand!$A$2:$A$88,[1]Brand!$B$2:$B$88)</f>
        <v>3</v>
      </c>
      <c r="B181">
        <v>17</v>
      </c>
      <c r="C181" t="s">
        <v>207</v>
      </c>
      <c r="D181" t="s">
        <v>208</v>
      </c>
      <c r="E181" t="s">
        <v>219</v>
      </c>
      <c r="F181">
        <v>40</v>
      </c>
      <c r="G181">
        <v>100</v>
      </c>
    </row>
    <row r="182" spans="1:7">
      <c r="A182">
        <f>_xlfn.XLOOKUP(B182,[1]Brand!$A$2:$A$88,[1]Brand!$B$2:$B$88)</f>
        <v>3</v>
      </c>
      <c r="B182">
        <v>18</v>
      </c>
      <c r="C182" t="s">
        <v>207</v>
      </c>
      <c r="D182" t="s">
        <v>220</v>
      </c>
      <c r="E182" t="s">
        <v>221</v>
      </c>
      <c r="F182">
        <v>550</v>
      </c>
      <c r="G182">
        <v>100</v>
      </c>
    </row>
    <row r="183" spans="1:7">
      <c r="A183">
        <f>_xlfn.XLOOKUP(B183,[1]Brand!$A$2:$A$88,[1]Brand!$B$2:$B$88)</f>
        <v>3</v>
      </c>
      <c r="B183">
        <v>18</v>
      </c>
      <c r="C183" t="s">
        <v>207</v>
      </c>
      <c r="D183" t="s">
        <v>220</v>
      </c>
      <c r="E183" t="s">
        <v>222</v>
      </c>
      <c r="F183">
        <v>50</v>
      </c>
      <c r="G183">
        <v>200</v>
      </c>
    </row>
    <row r="184" spans="1:7">
      <c r="A184">
        <f>_xlfn.XLOOKUP(B184,[1]Brand!$A$2:$A$88,[1]Brand!$B$2:$B$88)</f>
        <v>3</v>
      </c>
      <c r="B184">
        <v>18</v>
      </c>
      <c r="C184" t="s">
        <v>207</v>
      </c>
      <c r="D184" t="s">
        <v>220</v>
      </c>
      <c r="E184" t="s">
        <v>223</v>
      </c>
      <c r="F184">
        <v>60</v>
      </c>
      <c r="G184">
        <v>180</v>
      </c>
    </row>
    <row r="185" spans="1:7">
      <c r="A185">
        <f>_xlfn.XLOOKUP(B185,[1]Brand!$A$2:$A$88,[1]Brand!$B$2:$B$88)</f>
        <v>3</v>
      </c>
      <c r="B185">
        <v>18</v>
      </c>
      <c r="C185" t="s">
        <v>207</v>
      </c>
      <c r="D185" t="s">
        <v>220</v>
      </c>
      <c r="E185" t="s">
        <v>212</v>
      </c>
      <c r="F185">
        <v>80</v>
      </c>
      <c r="G185">
        <v>150</v>
      </c>
    </row>
    <row r="186" spans="1:7">
      <c r="A186">
        <f>_xlfn.XLOOKUP(B186,[1]Brand!$A$2:$A$88,[1]Brand!$B$2:$B$88)</f>
        <v>3</v>
      </c>
      <c r="B186">
        <v>18</v>
      </c>
      <c r="C186" t="s">
        <v>207</v>
      </c>
      <c r="D186" t="s">
        <v>220</v>
      </c>
      <c r="E186" t="s">
        <v>224</v>
      </c>
      <c r="F186">
        <v>50</v>
      </c>
      <c r="G186">
        <v>120</v>
      </c>
    </row>
    <row r="187" spans="1:7">
      <c r="A187">
        <f>_xlfn.XLOOKUP(B187,[1]Brand!$A$2:$A$88,[1]Brand!$B$2:$B$88)</f>
        <v>3</v>
      </c>
      <c r="B187">
        <v>18</v>
      </c>
      <c r="C187" t="s">
        <v>207</v>
      </c>
      <c r="D187" t="s">
        <v>220</v>
      </c>
      <c r="E187" t="s">
        <v>210</v>
      </c>
      <c r="F187">
        <v>120</v>
      </c>
      <c r="G187">
        <v>90</v>
      </c>
    </row>
    <row r="188" spans="1:7">
      <c r="A188">
        <f>_xlfn.XLOOKUP(B188,[1]Brand!$A$2:$A$88,[1]Brand!$B$2:$B$88)</f>
        <v>3</v>
      </c>
      <c r="B188">
        <v>18</v>
      </c>
      <c r="C188" t="s">
        <v>207</v>
      </c>
      <c r="D188" t="s">
        <v>220</v>
      </c>
      <c r="E188" t="s">
        <v>211</v>
      </c>
      <c r="F188">
        <v>70</v>
      </c>
      <c r="G188">
        <v>110</v>
      </c>
    </row>
    <row r="189" spans="1:7">
      <c r="A189">
        <f>_xlfn.XLOOKUP(B189,[1]Brand!$A$2:$A$88,[1]Brand!$B$2:$B$88)</f>
        <v>3</v>
      </c>
      <c r="B189">
        <v>18</v>
      </c>
      <c r="C189" t="s">
        <v>207</v>
      </c>
      <c r="D189" t="s">
        <v>220</v>
      </c>
      <c r="E189" t="s">
        <v>225</v>
      </c>
      <c r="F189">
        <v>25</v>
      </c>
      <c r="G189">
        <v>140</v>
      </c>
    </row>
    <row r="190" spans="1:7">
      <c r="A190">
        <f>_xlfn.XLOOKUP(B190,[1]Brand!$A$2:$A$88,[1]Brand!$B$2:$B$88)</f>
        <v>3</v>
      </c>
      <c r="B190">
        <v>18</v>
      </c>
      <c r="C190" t="s">
        <v>207</v>
      </c>
      <c r="D190" t="s">
        <v>220</v>
      </c>
      <c r="E190" t="s">
        <v>226</v>
      </c>
      <c r="F190">
        <v>30</v>
      </c>
      <c r="G190">
        <v>130</v>
      </c>
    </row>
    <row r="191" spans="1:7">
      <c r="A191">
        <f>_xlfn.XLOOKUP(B191,[1]Brand!$A$2:$A$88,[1]Brand!$B$2:$B$88)</f>
        <v>3</v>
      </c>
      <c r="B191">
        <v>18</v>
      </c>
      <c r="C191" t="s">
        <v>207</v>
      </c>
      <c r="D191" t="s">
        <v>220</v>
      </c>
      <c r="E191" t="s">
        <v>227</v>
      </c>
      <c r="F191">
        <v>50</v>
      </c>
      <c r="G191">
        <v>100</v>
      </c>
    </row>
    <row r="192" spans="1:7">
      <c r="A192">
        <f>_xlfn.XLOOKUP(B192,[1]Brand!$A$2:$A$88,[1]Brand!$B$2:$B$88)</f>
        <v>3</v>
      </c>
      <c r="B192">
        <v>20</v>
      </c>
      <c r="C192" t="s">
        <v>207</v>
      </c>
      <c r="D192" t="s">
        <v>228</v>
      </c>
      <c r="E192" t="s">
        <v>229</v>
      </c>
      <c r="F192">
        <v>125</v>
      </c>
      <c r="G192">
        <v>50</v>
      </c>
    </row>
    <row r="193" spans="1:7">
      <c r="A193">
        <f>_xlfn.XLOOKUP(B193,[1]Brand!$A$2:$A$88,[1]Brand!$B$2:$B$88)</f>
        <v>3</v>
      </c>
      <c r="B193">
        <v>20</v>
      </c>
      <c r="C193" t="s">
        <v>214</v>
      </c>
      <c r="D193" t="s">
        <v>228</v>
      </c>
      <c r="E193" t="s">
        <v>230</v>
      </c>
      <c r="F193">
        <v>299</v>
      </c>
      <c r="G193">
        <v>30</v>
      </c>
    </row>
    <row r="194" spans="1:7">
      <c r="A194">
        <f>_xlfn.XLOOKUP(B194,[1]Brand!$A$2:$A$88,[1]Brand!$B$2:$B$88)</f>
        <v>3</v>
      </c>
      <c r="B194">
        <v>20</v>
      </c>
      <c r="C194" t="s">
        <v>231</v>
      </c>
      <c r="D194" t="s">
        <v>228</v>
      </c>
      <c r="E194" t="s">
        <v>232</v>
      </c>
      <c r="F194">
        <v>12</v>
      </c>
      <c r="G194">
        <v>100</v>
      </c>
    </row>
    <row r="195" spans="1:7">
      <c r="A195">
        <f>_xlfn.XLOOKUP(B195,[1]Brand!$A$2:$A$88,[1]Brand!$B$2:$B$88)</f>
        <v>3</v>
      </c>
      <c r="B195">
        <v>20</v>
      </c>
      <c r="C195" t="s">
        <v>233</v>
      </c>
      <c r="D195" t="s">
        <v>228</v>
      </c>
      <c r="E195" t="s">
        <v>234</v>
      </c>
      <c r="F195">
        <v>20</v>
      </c>
      <c r="G195">
        <v>75</v>
      </c>
    </row>
    <row r="196" spans="1:7">
      <c r="A196">
        <f>_xlfn.XLOOKUP(B196,[1]Brand!$A$2:$A$88,[1]Brand!$B$2:$B$88)</f>
        <v>3</v>
      </c>
      <c r="B196">
        <v>20</v>
      </c>
      <c r="C196" t="s">
        <v>235</v>
      </c>
      <c r="D196" t="s">
        <v>228</v>
      </c>
      <c r="E196" t="s">
        <v>236</v>
      </c>
      <c r="F196">
        <v>250</v>
      </c>
      <c r="G196">
        <v>40</v>
      </c>
    </row>
    <row r="197" spans="1:7">
      <c r="A197">
        <f>_xlfn.XLOOKUP(B197,[1]Brand!$A$2:$A$88,[1]Brand!$B$2:$B$88)</f>
        <v>3</v>
      </c>
      <c r="B197">
        <v>19</v>
      </c>
      <c r="C197" t="s">
        <v>237</v>
      </c>
      <c r="D197" t="s">
        <v>238</v>
      </c>
      <c r="E197" t="s">
        <v>239</v>
      </c>
      <c r="F197">
        <v>175</v>
      </c>
      <c r="G197">
        <v>20</v>
      </c>
    </row>
    <row r="198" spans="1:7">
      <c r="A198">
        <f>_xlfn.XLOOKUP(B198,[1]Brand!$A$2:$A$88,[1]Brand!$B$2:$B$88)</f>
        <v>3</v>
      </c>
      <c r="B198">
        <v>19</v>
      </c>
      <c r="C198" t="s">
        <v>237</v>
      </c>
      <c r="D198" t="s">
        <v>238</v>
      </c>
      <c r="E198" t="s">
        <v>240</v>
      </c>
      <c r="F198">
        <v>60</v>
      </c>
      <c r="G198">
        <v>35</v>
      </c>
    </row>
    <row r="199" spans="1:7">
      <c r="A199">
        <f>_xlfn.XLOOKUP(B199,[1]Brand!$A$2:$A$88,[1]Brand!$B$2:$B$88)</f>
        <v>3</v>
      </c>
      <c r="B199">
        <v>19</v>
      </c>
      <c r="C199" t="s">
        <v>237</v>
      </c>
      <c r="D199" t="s">
        <v>238</v>
      </c>
      <c r="E199" t="s">
        <v>241</v>
      </c>
      <c r="F199">
        <v>90</v>
      </c>
      <c r="G199">
        <v>25</v>
      </c>
    </row>
    <row r="200" spans="1:7">
      <c r="A200">
        <f>_xlfn.XLOOKUP(B200,[1]Brand!$A$2:$A$88,[1]Brand!$B$2:$B$88)</f>
        <v>3</v>
      </c>
      <c r="B200">
        <v>19</v>
      </c>
      <c r="C200" t="s">
        <v>237</v>
      </c>
      <c r="D200" t="s">
        <v>238</v>
      </c>
      <c r="E200" t="s">
        <v>242</v>
      </c>
      <c r="F200">
        <v>40</v>
      </c>
      <c r="G200">
        <v>50</v>
      </c>
    </row>
    <row r="201" spans="1:7">
      <c r="A201">
        <f>_xlfn.XLOOKUP(B201,[1]Brand!$A$2:$A$88,[1]Brand!$B$2:$B$88)</f>
        <v>3</v>
      </c>
      <c r="B201">
        <v>19</v>
      </c>
      <c r="C201" t="s">
        <v>237</v>
      </c>
      <c r="D201" t="s">
        <v>238</v>
      </c>
      <c r="E201" t="s">
        <v>243</v>
      </c>
      <c r="F201">
        <v>20</v>
      </c>
      <c r="G201">
        <v>45</v>
      </c>
    </row>
    <row r="202" spans="1:7">
      <c r="A202">
        <f>_xlfn.XLOOKUP(B202,[1]Brand!$A$2:$A$88,[1]Brand!$B$2:$B$88)</f>
        <v>3</v>
      </c>
      <c r="B202">
        <v>21</v>
      </c>
      <c r="C202" t="s">
        <v>244</v>
      </c>
      <c r="D202" t="s">
        <v>245</v>
      </c>
      <c r="E202" t="s">
        <v>246</v>
      </c>
      <c r="F202">
        <v>50</v>
      </c>
      <c r="G202">
        <v>60</v>
      </c>
    </row>
    <row r="203" spans="1:7">
      <c r="A203">
        <f>_xlfn.XLOOKUP(B203,[1]Brand!$A$2:$A$88,[1]Brand!$B$2:$B$88)</f>
        <v>3</v>
      </c>
      <c r="B203">
        <v>21</v>
      </c>
      <c r="C203" t="s">
        <v>207</v>
      </c>
      <c r="D203" t="s">
        <v>245</v>
      </c>
      <c r="E203" t="s">
        <v>247</v>
      </c>
      <c r="F203">
        <v>120</v>
      </c>
      <c r="G203">
        <v>40</v>
      </c>
    </row>
    <row r="204" spans="1:7">
      <c r="A204">
        <f>_xlfn.XLOOKUP(B204,[1]Brand!$A$2:$A$88,[1]Brand!$B$2:$B$88)</f>
        <v>3</v>
      </c>
      <c r="B204">
        <v>21</v>
      </c>
      <c r="C204" t="s">
        <v>248</v>
      </c>
      <c r="D204" t="s">
        <v>245</v>
      </c>
      <c r="E204" t="s">
        <v>249</v>
      </c>
      <c r="F204">
        <v>80</v>
      </c>
      <c r="G204">
        <v>30</v>
      </c>
    </row>
    <row r="205" spans="1:7">
      <c r="A205">
        <f>_xlfn.XLOOKUP(B205,[1]Brand!$A$2:$A$88,[1]Brand!$B$2:$B$88)</f>
        <v>3</v>
      </c>
      <c r="B205">
        <v>21</v>
      </c>
      <c r="C205" t="s">
        <v>79</v>
      </c>
      <c r="D205" t="s">
        <v>245</v>
      </c>
      <c r="E205" t="s">
        <v>250</v>
      </c>
      <c r="F205">
        <v>60</v>
      </c>
    </row>
    <row r="206" spans="1:7">
      <c r="A206">
        <f>_xlfn.XLOOKUP(B206,[1]Brand!$A$2:$A$88,[1]Brand!$B$2:$B$88)</f>
        <v>3</v>
      </c>
      <c r="B206">
        <v>21</v>
      </c>
      <c r="C206" t="s">
        <v>251</v>
      </c>
      <c r="D206" t="s">
        <v>245</v>
      </c>
      <c r="E206" t="s">
        <v>252</v>
      </c>
      <c r="F206">
        <v>35</v>
      </c>
      <c r="G206">
        <v>70</v>
      </c>
    </row>
    <row r="207" spans="1:7">
      <c r="A207">
        <f>_xlfn.XLOOKUP(B207,[1]Brand!$A$2:$A$88,[1]Brand!$B$2:$B$88)</f>
        <v>3</v>
      </c>
      <c r="B207">
        <v>22</v>
      </c>
      <c r="C207" t="s">
        <v>237</v>
      </c>
      <c r="D207" t="s">
        <v>253</v>
      </c>
      <c r="E207" t="s">
        <v>254</v>
      </c>
      <c r="F207">
        <v>200</v>
      </c>
      <c r="G207">
        <v>30</v>
      </c>
    </row>
    <row r="208" spans="1:7">
      <c r="A208">
        <f>_xlfn.XLOOKUP(B208,[1]Brand!$A$2:$A$88,[1]Brand!$B$2:$B$88)</f>
        <v>3</v>
      </c>
      <c r="B208">
        <v>22</v>
      </c>
      <c r="C208" t="s">
        <v>237</v>
      </c>
      <c r="D208" t="s">
        <v>253</v>
      </c>
      <c r="E208" t="s">
        <v>255</v>
      </c>
      <c r="F208">
        <v>25</v>
      </c>
      <c r="G208">
        <v>50</v>
      </c>
    </row>
    <row r="209" spans="1:7">
      <c r="A209">
        <f>_xlfn.XLOOKUP(B209,[1]Brand!$A$2:$A$88,[1]Brand!$B$2:$B$88)</f>
        <v>3</v>
      </c>
      <c r="B209">
        <v>22</v>
      </c>
      <c r="C209" t="s">
        <v>237</v>
      </c>
      <c r="D209" t="s">
        <v>253</v>
      </c>
      <c r="E209" t="s">
        <v>256</v>
      </c>
      <c r="F209">
        <v>40</v>
      </c>
      <c r="G209">
        <v>40</v>
      </c>
    </row>
    <row r="210" spans="1:7">
      <c r="A210">
        <f>_xlfn.XLOOKUP(B210,[1]Brand!$A$2:$A$88,[1]Brand!$B$2:$B$88)</f>
        <v>3</v>
      </c>
      <c r="B210">
        <v>22</v>
      </c>
      <c r="C210" t="s">
        <v>237</v>
      </c>
      <c r="D210" t="s">
        <v>253</v>
      </c>
      <c r="E210" t="s">
        <v>257</v>
      </c>
      <c r="F210">
        <v>35</v>
      </c>
      <c r="G210">
        <v>45</v>
      </c>
    </row>
    <row r="211" spans="1:7">
      <c r="A211">
        <f>_xlfn.XLOOKUP(B211,[1]Brand!$A$2:$A$88,[1]Brand!$B$2:$B$88)</f>
        <v>3</v>
      </c>
      <c r="B211">
        <v>22</v>
      </c>
      <c r="C211" t="s">
        <v>237</v>
      </c>
      <c r="D211" t="s">
        <v>253</v>
      </c>
      <c r="E211" t="s">
        <v>258</v>
      </c>
      <c r="F211">
        <v>150</v>
      </c>
      <c r="G211">
        <v>25</v>
      </c>
    </row>
    <row r="212" spans="1:7">
      <c r="A212">
        <f>_xlfn.XLOOKUP(B212,[1]Brand!$A$2:$A$88,[1]Brand!$B$2:$B$88)</f>
        <v>3</v>
      </c>
      <c r="B212">
        <v>23</v>
      </c>
      <c r="C212" t="s">
        <v>207</v>
      </c>
      <c r="D212" t="s">
        <v>259</v>
      </c>
      <c r="E212" t="s">
        <v>260</v>
      </c>
      <c r="F212">
        <v>55</v>
      </c>
      <c r="G212">
        <v>100</v>
      </c>
    </row>
    <row r="213" spans="1:7">
      <c r="A213">
        <f>_xlfn.XLOOKUP(B213,[1]Brand!$A$2:$A$88,[1]Brand!$B$2:$B$88)</f>
        <v>3</v>
      </c>
      <c r="B213">
        <v>23</v>
      </c>
      <c r="C213" t="s">
        <v>207</v>
      </c>
      <c r="D213" t="s">
        <v>259</v>
      </c>
      <c r="E213" t="s">
        <v>261</v>
      </c>
      <c r="F213">
        <v>40</v>
      </c>
      <c r="G213">
        <v>80</v>
      </c>
    </row>
    <row r="214" spans="1:7">
      <c r="A214">
        <f>_xlfn.XLOOKUP(B214,[1]Brand!$A$2:$A$88,[1]Brand!$B$2:$B$88)</f>
        <v>3</v>
      </c>
      <c r="B214">
        <v>23</v>
      </c>
      <c r="C214" t="s">
        <v>207</v>
      </c>
      <c r="D214" t="s">
        <v>259</v>
      </c>
      <c r="E214" t="s">
        <v>262</v>
      </c>
      <c r="F214">
        <v>75</v>
      </c>
      <c r="G214">
        <v>50</v>
      </c>
    </row>
    <row r="215" spans="1:7">
      <c r="A215">
        <f>_xlfn.XLOOKUP(B215,[1]Brand!$A$2:$A$88,[1]Brand!$B$2:$B$88)</f>
        <v>3</v>
      </c>
      <c r="B215">
        <v>23</v>
      </c>
      <c r="C215" t="s">
        <v>207</v>
      </c>
      <c r="D215" t="s">
        <v>259</v>
      </c>
      <c r="E215" t="s">
        <v>263</v>
      </c>
      <c r="F215">
        <v>45</v>
      </c>
      <c r="G215">
        <v>60</v>
      </c>
    </row>
    <row r="216" spans="1:7">
      <c r="A216">
        <f>_xlfn.XLOOKUP(B216,[1]Brand!$A$2:$A$88,[1]Brand!$B$2:$B$88)</f>
        <v>3</v>
      </c>
      <c r="B216">
        <v>23</v>
      </c>
      <c r="C216" t="s">
        <v>207</v>
      </c>
      <c r="D216" t="s">
        <v>259</v>
      </c>
      <c r="E216" t="s">
        <v>264</v>
      </c>
      <c r="F216">
        <v>300</v>
      </c>
      <c r="G216">
        <v>30</v>
      </c>
    </row>
    <row r="217" spans="1:7">
      <c r="A217">
        <f>_xlfn.XLOOKUP(B217,[1]Brand!$A$2:$A$88,[1]Brand!$B$2:$B$88)</f>
        <v>4</v>
      </c>
      <c r="B217">
        <v>24</v>
      </c>
      <c r="C217" t="s">
        <v>265</v>
      </c>
      <c r="D217" t="s">
        <v>266</v>
      </c>
      <c r="E217" t="s">
        <v>267</v>
      </c>
      <c r="F217">
        <v>120</v>
      </c>
      <c r="G217">
        <v>100</v>
      </c>
    </row>
    <row r="218" spans="1:7">
      <c r="A218">
        <f>_xlfn.XLOOKUP(B218,[1]Brand!$A$2:$A$88,[1]Brand!$B$2:$B$88)</f>
        <v>4</v>
      </c>
      <c r="B218">
        <v>24</v>
      </c>
      <c r="C218" t="s">
        <v>268</v>
      </c>
      <c r="D218" t="s">
        <v>266</v>
      </c>
      <c r="E218" t="s">
        <v>269</v>
      </c>
      <c r="F218">
        <v>50</v>
      </c>
      <c r="G218">
        <v>80</v>
      </c>
    </row>
    <row r="219" spans="1:7">
      <c r="A219">
        <f>_xlfn.XLOOKUP(B219,[1]Brand!$A$2:$A$88,[1]Brand!$B$2:$B$88)</f>
        <v>4</v>
      </c>
      <c r="B219">
        <v>24</v>
      </c>
      <c r="C219" t="s">
        <v>270</v>
      </c>
      <c r="D219" t="s">
        <v>266</v>
      </c>
      <c r="E219" t="s">
        <v>271</v>
      </c>
      <c r="F219">
        <v>300</v>
      </c>
      <c r="G219">
        <v>40</v>
      </c>
    </row>
    <row r="220" spans="1:7">
      <c r="A220">
        <f>_xlfn.XLOOKUP(B220,[1]Brand!$A$2:$A$88,[1]Brand!$B$2:$B$88)</f>
        <v>4</v>
      </c>
      <c r="B220">
        <v>24</v>
      </c>
      <c r="C220" t="s">
        <v>272</v>
      </c>
      <c r="D220" t="s">
        <v>266</v>
      </c>
      <c r="E220" t="s">
        <v>273</v>
      </c>
      <c r="F220">
        <v>60</v>
      </c>
      <c r="G220">
        <v>70</v>
      </c>
    </row>
    <row r="221" spans="1:7">
      <c r="A221">
        <f>_xlfn.XLOOKUP(B221,[1]Brand!$A$2:$A$88,[1]Brand!$B$2:$B$88)</f>
        <v>4</v>
      </c>
      <c r="B221">
        <v>24</v>
      </c>
      <c r="C221" t="s">
        <v>274</v>
      </c>
      <c r="D221" t="s">
        <v>266</v>
      </c>
      <c r="E221" t="s">
        <v>275</v>
      </c>
      <c r="F221">
        <v>15</v>
      </c>
      <c r="G221">
        <v>90</v>
      </c>
    </row>
    <row r="222" spans="1:7">
      <c r="A222">
        <f>_xlfn.XLOOKUP(B222,[1]Brand!$A$2:$A$88,[1]Brand!$B$2:$B$88)</f>
        <v>4</v>
      </c>
      <c r="B222">
        <v>24</v>
      </c>
      <c r="C222" t="s">
        <v>265</v>
      </c>
      <c r="D222" t="s">
        <v>266</v>
      </c>
      <c r="E222" t="s">
        <v>276</v>
      </c>
      <c r="F222">
        <v>110</v>
      </c>
      <c r="G222">
        <v>90</v>
      </c>
    </row>
    <row r="223" spans="1:7">
      <c r="A223">
        <f>_xlfn.XLOOKUP(B223,[1]Brand!$A$2:$A$88,[1]Brand!$B$2:$B$88)</f>
        <v>4</v>
      </c>
      <c r="B223">
        <v>24</v>
      </c>
      <c r="C223" t="s">
        <v>268</v>
      </c>
      <c r="D223" t="s">
        <v>266</v>
      </c>
      <c r="E223" t="s">
        <v>277</v>
      </c>
      <c r="F223">
        <v>75</v>
      </c>
      <c r="G223">
        <v>60</v>
      </c>
    </row>
    <row r="224" spans="1:7">
      <c r="A224">
        <f>_xlfn.XLOOKUP(B224,[1]Brand!$A$2:$A$88,[1]Brand!$B$2:$B$88)</f>
        <v>4</v>
      </c>
      <c r="B224">
        <v>24</v>
      </c>
      <c r="C224" t="s">
        <v>270</v>
      </c>
      <c r="D224" t="s">
        <v>266</v>
      </c>
      <c r="E224" t="s">
        <v>278</v>
      </c>
      <c r="F224">
        <v>350</v>
      </c>
      <c r="G224">
        <v>35</v>
      </c>
    </row>
    <row r="225" spans="1:7">
      <c r="A225">
        <f>_xlfn.XLOOKUP(B225,[1]Brand!$A$2:$A$88,[1]Brand!$B$2:$B$88)</f>
        <v>4</v>
      </c>
      <c r="B225">
        <v>24</v>
      </c>
      <c r="C225" t="s">
        <v>272</v>
      </c>
      <c r="D225" t="s">
        <v>266</v>
      </c>
      <c r="E225" t="s">
        <v>279</v>
      </c>
      <c r="F225">
        <v>80</v>
      </c>
    </row>
    <row r="226" spans="1:7">
      <c r="A226">
        <f>_xlfn.XLOOKUP(B226,[1]Brand!$A$2:$A$88,[1]Brand!$B$2:$B$88)</f>
        <v>4</v>
      </c>
      <c r="B226">
        <v>24</v>
      </c>
      <c r="C226" t="s">
        <v>274</v>
      </c>
      <c r="D226" t="s">
        <v>266</v>
      </c>
      <c r="E226" t="s">
        <v>280</v>
      </c>
      <c r="F226">
        <v>70</v>
      </c>
      <c r="G226">
        <v>40</v>
      </c>
    </row>
    <row r="227" spans="1:7">
      <c r="A227">
        <f>_xlfn.XLOOKUP(B227,[1]Brand!$A$2:$A$88,[1]Brand!$B$2:$B$88)</f>
        <v>4</v>
      </c>
      <c r="B227">
        <v>24</v>
      </c>
      <c r="C227" t="s">
        <v>265</v>
      </c>
      <c r="D227" t="s">
        <v>266</v>
      </c>
      <c r="E227" t="s">
        <v>281</v>
      </c>
      <c r="F227">
        <v>90</v>
      </c>
      <c r="G227">
        <v>85</v>
      </c>
    </row>
    <row r="228" spans="1:7">
      <c r="A228">
        <f>_xlfn.XLOOKUP(B228,[1]Brand!$A$2:$A$88,[1]Brand!$B$2:$B$88)</f>
        <v>4</v>
      </c>
      <c r="B228">
        <v>24</v>
      </c>
      <c r="C228" t="s">
        <v>268</v>
      </c>
      <c r="D228" t="s">
        <v>266</v>
      </c>
      <c r="E228" t="s">
        <v>282</v>
      </c>
      <c r="F228">
        <v>45</v>
      </c>
      <c r="G228">
        <v>70</v>
      </c>
    </row>
    <row r="229" spans="1:7">
      <c r="A229">
        <f>_xlfn.XLOOKUP(B229,[1]Brand!$A$2:$A$88,[1]Brand!$B$2:$B$88)</f>
        <v>4</v>
      </c>
      <c r="B229">
        <v>24</v>
      </c>
      <c r="C229" t="s">
        <v>270</v>
      </c>
      <c r="D229" t="s">
        <v>266</v>
      </c>
      <c r="E229" t="s">
        <v>283</v>
      </c>
      <c r="F229">
        <v>150</v>
      </c>
      <c r="G229">
        <v>50</v>
      </c>
    </row>
    <row r="230" spans="1:7">
      <c r="A230">
        <f>_xlfn.XLOOKUP(B230,[1]Brand!$A$2:$A$88,[1]Brand!$B$2:$B$88)</f>
        <v>4</v>
      </c>
      <c r="B230">
        <v>24</v>
      </c>
      <c r="C230" t="s">
        <v>272</v>
      </c>
      <c r="D230" t="s">
        <v>266</v>
      </c>
      <c r="E230" t="s">
        <v>284</v>
      </c>
      <c r="F230">
        <v>120</v>
      </c>
      <c r="G230">
        <v>40</v>
      </c>
    </row>
    <row r="231" spans="1:7">
      <c r="A231">
        <f>_xlfn.XLOOKUP(B231,[1]Brand!$A$2:$A$88,[1]Brand!$B$2:$B$88)</f>
        <v>4</v>
      </c>
      <c r="B231">
        <v>24</v>
      </c>
      <c r="C231" t="s">
        <v>274</v>
      </c>
      <c r="D231" t="s">
        <v>266</v>
      </c>
      <c r="E231" t="s">
        <v>285</v>
      </c>
      <c r="F231">
        <v>180</v>
      </c>
      <c r="G231">
        <v>30</v>
      </c>
    </row>
    <row r="232" spans="1:7">
      <c r="A232">
        <f>_xlfn.XLOOKUP(B232,[1]Brand!$A$2:$A$88,[1]Brand!$B$2:$B$88)</f>
        <v>4</v>
      </c>
      <c r="B232">
        <v>25</v>
      </c>
      <c r="C232" t="s">
        <v>265</v>
      </c>
      <c r="D232" t="s">
        <v>286</v>
      </c>
      <c r="E232" t="s">
        <v>267</v>
      </c>
      <c r="F232">
        <v>100</v>
      </c>
      <c r="G232">
        <v>120</v>
      </c>
    </row>
    <row r="233" spans="1:7">
      <c r="A233">
        <f>_xlfn.XLOOKUP(B233,[1]Brand!$A$2:$A$88,[1]Brand!$B$2:$B$88)</f>
        <v>4</v>
      </c>
      <c r="B233">
        <v>25</v>
      </c>
      <c r="C233" t="s">
        <v>268</v>
      </c>
      <c r="D233" t="s">
        <v>286</v>
      </c>
      <c r="E233" t="s">
        <v>269</v>
      </c>
      <c r="F233">
        <v>45</v>
      </c>
      <c r="G233">
        <v>90</v>
      </c>
    </row>
    <row r="234" spans="1:7">
      <c r="A234">
        <f>_xlfn.XLOOKUP(B234,[1]Brand!$A$2:$A$88,[1]Brand!$B$2:$B$88)</f>
        <v>4</v>
      </c>
      <c r="B234">
        <v>25</v>
      </c>
      <c r="C234" t="s">
        <v>270</v>
      </c>
      <c r="D234" t="s">
        <v>286</v>
      </c>
      <c r="E234" t="s">
        <v>271</v>
      </c>
      <c r="F234">
        <v>280</v>
      </c>
      <c r="G234">
        <v>50</v>
      </c>
    </row>
    <row r="235" spans="1:7">
      <c r="A235">
        <f>_xlfn.XLOOKUP(B235,[1]Brand!$A$2:$A$88,[1]Brand!$B$2:$B$88)</f>
        <v>4</v>
      </c>
      <c r="B235">
        <v>25</v>
      </c>
      <c r="C235" t="s">
        <v>272</v>
      </c>
      <c r="D235" t="s">
        <v>286</v>
      </c>
      <c r="E235" t="s">
        <v>273</v>
      </c>
      <c r="F235">
        <v>55</v>
      </c>
      <c r="G235">
        <v>80</v>
      </c>
    </row>
    <row r="236" spans="1:7">
      <c r="A236">
        <f>_xlfn.XLOOKUP(B236,[1]Brand!$A$2:$A$88,[1]Brand!$B$2:$B$88)</f>
        <v>4</v>
      </c>
      <c r="B236">
        <v>25</v>
      </c>
      <c r="C236" t="s">
        <v>274</v>
      </c>
      <c r="D236" t="s">
        <v>286</v>
      </c>
      <c r="E236" t="s">
        <v>275</v>
      </c>
      <c r="F236">
        <v>12</v>
      </c>
      <c r="G236">
        <v>100</v>
      </c>
    </row>
    <row r="237" spans="1:7">
      <c r="A237">
        <f>_xlfn.XLOOKUP(B237,[1]Brand!$A$2:$A$88,[1]Brand!$B$2:$B$88)</f>
        <v>4</v>
      </c>
      <c r="B237">
        <v>25</v>
      </c>
      <c r="C237" t="s">
        <v>265</v>
      </c>
      <c r="D237" t="s">
        <v>286</v>
      </c>
      <c r="E237" t="s">
        <v>276</v>
      </c>
      <c r="F237">
        <v>95</v>
      </c>
      <c r="G237">
        <v>110</v>
      </c>
    </row>
    <row r="238" spans="1:7">
      <c r="A238">
        <f>_xlfn.XLOOKUP(B238,[1]Brand!$A$2:$A$88,[1]Brand!$B$2:$B$88)</f>
        <v>4</v>
      </c>
      <c r="B238">
        <v>25</v>
      </c>
      <c r="C238" t="s">
        <v>268</v>
      </c>
      <c r="D238" t="s">
        <v>286</v>
      </c>
      <c r="E238" t="s">
        <v>277</v>
      </c>
      <c r="F238">
        <v>70</v>
      </c>
      <c r="G238">
        <v>75</v>
      </c>
    </row>
    <row r="239" spans="1:7">
      <c r="A239">
        <f>_xlfn.XLOOKUP(B239,[1]Brand!$A$2:$A$88,[1]Brand!$B$2:$B$88)</f>
        <v>4</v>
      </c>
      <c r="B239">
        <v>25</v>
      </c>
      <c r="C239" t="s">
        <v>270</v>
      </c>
      <c r="D239" t="s">
        <v>286</v>
      </c>
      <c r="E239" t="s">
        <v>278</v>
      </c>
      <c r="F239">
        <v>320</v>
      </c>
      <c r="G239">
        <v>45</v>
      </c>
    </row>
    <row r="240" spans="1:7">
      <c r="A240">
        <f>_xlfn.XLOOKUP(B240,[1]Brand!$A$2:$A$88,[1]Brand!$B$2:$B$88)</f>
        <v>4</v>
      </c>
      <c r="B240">
        <v>25</v>
      </c>
      <c r="C240" t="s">
        <v>272</v>
      </c>
      <c r="D240" t="s">
        <v>286</v>
      </c>
      <c r="E240" t="s">
        <v>279</v>
      </c>
      <c r="F240">
        <v>75</v>
      </c>
      <c r="G240">
        <v>60</v>
      </c>
    </row>
    <row r="241" spans="1:7">
      <c r="A241">
        <f>_xlfn.XLOOKUP(B241,[1]Brand!$A$2:$A$88,[1]Brand!$B$2:$B$88)</f>
        <v>4</v>
      </c>
      <c r="B241">
        <v>25</v>
      </c>
      <c r="C241" t="s">
        <v>274</v>
      </c>
      <c r="D241" t="s">
        <v>286</v>
      </c>
      <c r="E241" t="s">
        <v>280</v>
      </c>
      <c r="F241">
        <v>65</v>
      </c>
      <c r="G241">
        <v>50</v>
      </c>
    </row>
    <row r="242" spans="1:7">
      <c r="A242">
        <f>_xlfn.XLOOKUP(B242,[1]Brand!$A$2:$A$88,[1]Brand!$B$2:$B$88)</f>
        <v>4</v>
      </c>
      <c r="B242">
        <v>26</v>
      </c>
      <c r="C242" t="s">
        <v>265</v>
      </c>
      <c r="D242" t="s">
        <v>287</v>
      </c>
      <c r="E242" t="s">
        <v>288</v>
      </c>
      <c r="F242">
        <v>60</v>
      </c>
      <c r="G242">
        <v>100</v>
      </c>
    </row>
    <row r="243" spans="1:7">
      <c r="A243">
        <f>_xlfn.XLOOKUP(B243,[1]Brand!$A$2:$A$88,[1]Brand!$B$2:$B$88)</f>
        <v>4</v>
      </c>
      <c r="B243">
        <v>26</v>
      </c>
      <c r="C243" t="s">
        <v>265</v>
      </c>
      <c r="D243" t="s">
        <v>287</v>
      </c>
      <c r="E243" t="s">
        <v>289</v>
      </c>
      <c r="F243">
        <v>350</v>
      </c>
      <c r="G243">
        <v>50</v>
      </c>
    </row>
    <row r="244" spans="1:7">
      <c r="A244">
        <f>_xlfn.XLOOKUP(B244,[1]Brand!$A$2:$A$88,[1]Brand!$B$2:$B$88)</f>
        <v>4</v>
      </c>
      <c r="B244">
        <v>26</v>
      </c>
      <c r="C244" t="s">
        <v>268</v>
      </c>
      <c r="D244" t="s">
        <v>287</v>
      </c>
      <c r="E244" t="s">
        <v>290</v>
      </c>
      <c r="F244">
        <v>70</v>
      </c>
      <c r="G244">
        <v>80</v>
      </c>
    </row>
    <row r="245" spans="1:7">
      <c r="A245">
        <f>_xlfn.XLOOKUP(B245,[1]Brand!$A$2:$A$88,[1]Brand!$B$2:$B$88)</f>
        <v>4</v>
      </c>
      <c r="B245">
        <v>26</v>
      </c>
      <c r="C245" t="s">
        <v>270</v>
      </c>
      <c r="D245" t="s">
        <v>287</v>
      </c>
      <c r="E245" t="s">
        <v>291</v>
      </c>
      <c r="F245">
        <v>350</v>
      </c>
      <c r="G245">
        <v>40</v>
      </c>
    </row>
    <row r="246" spans="1:7">
      <c r="A246">
        <f>_xlfn.XLOOKUP(B246,[1]Brand!$A$2:$A$88,[1]Brand!$B$2:$B$88)</f>
        <v>4</v>
      </c>
      <c r="B246">
        <v>26</v>
      </c>
      <c r="C246" t="s">
        <v>272</v>
      </c>
      <c r="D246" t="s">
        <v>287</v>
      </c>
      <c r="E246" t="s">
        <v>292</v>
      </c>
      <c r="F246">
        <v>75</v>
      </c>
      <c r="G246">
        <v>60</v>
      </c>
    </row>
    <row r="247" spans="1:7">
      <c r="A247">
        <f>_xlfn.XLOOKUP(B247,[1]Brand!$A$2:$A$88,[1]Brand!$B$2:$B$88)</f>
        <v>4</v>
      </c>
      <c r="B247">
        <v>27</v>
      </c>
      <c r="C247" t="s">
        <v>270</v>
      </c>
      <c r="D247" t="s">
        <v>293</v>
      </c>
      <c r="E247" t="s">
        <v>294</v>
      </c>
      <c r="F247">
        <v>450</v>
      </c>
      <c r="G247">
        <v>30</v>
      </c>
    </row>
    <row r="248" spans="1:7">
      <c r="A248">
        <f>_xlfn.XLOOKUP(B248,[1]Brand!$A$2:$A$88,[1]Brand!$B$2:$B$88)</f>
        <v>4</v>
      </c>
      <c r="B248">
        <v>27</v>
      </c>
      <c r="C248" t="s">
        <v>270</v>
      </c>
      <c r="D248" t="s">
        <v>293</v>
      </c>
      <c r="E248" t="s">
        <v>295</v>
      </c>
      <c r="F248">
        <v>600</v>
      </c>
      <c r="G248">
        <v>20</v>
      </c>
    </row>
    <row r="249" spans="1:7">
      <c r="A249">
        <f>_xlfn.XLOOKUP(B249,[1]Brand!$A$2:$A$88,[1]Brand!$B$2:$B$88)</f>
        <v>4</v>
      </c>
      <c r="B249">
        <v>27</v>
      </c>
      <c r="C249" t="s">
        <v>270</v>
      </c>
      <c r="D249" t="s">
        <v>293</v>
      </c>
      <c r="E249" t="s">
        <v>296</v>
      </c>
      <c r="F249">
        <v>1200</v>
      </c>
      <c r="G249">
        <v>15</v>
      </c>
    </row>
    <row r="250" spans="1:7">
      <c r="A250">
        <f>_xlfn.XLOOKUP(B250,[1]Brand!$A$2:$A$88,[1]Brand!$B$2:$B$88)</f>
        <v>4</v>
      </c>
      <c r="B250">
        <v>27</v>
      </c>
      <c r="C250" t="s">
        <v>270</v>
      </c>
      <c r="D250" t="s">
        <v>293</v>
      </c>
      <c r="E250" t="s">
        <v>297</v>
      </c>
      <c r="F250">
        <v>350</v>
      </c>
      <c r="G250">
        <v>25</v>
      </c>
    </row>
    <row r="251" spans="1:7">
      <c r="A251">
        <f>_xlfn.XLOOKUP(B251,[1]Brand!$A$2:$A$88,[1]Brand!$B$2:$B$88)</f>
        <v>4</v>
      </c>
      <c r="B251">
        <v>27</v>
      </c>
      <c r="C251" t="s">
        <v>270</v>
      </c>
      <c r="D251" t="s">
        <v>293</v>
      </c>
      <c r="E251" t="s">
        <v>298</v>
      </c>
      <c r="F251">
        <v>700</v>
      </c>
      <c r="G251">
        <v>40</v>
      </c>
    </row>
    <row r="252" spans="1:7">
      <c r="A252">
        <f>_xlfn.XLOOKUP(B252,[1]Brand!$A$2:$A$88,[1]Brand!$B$2:$B$88)</f>
        <v>4</v>
      </c>
      <c r="B252">
        <v>28</v>
      </c>
      <c r="C252" t="s">
        <v>270</v>
      </c>
      <c r="D252" t="s">
        <v>299</v>
      </c>
      <c r="E252" t="s">
        <v>300</v>
      </c>
      <c r="F252">
        <v>1500</v>
      </c>
      <c r="G252">
        <v>20</v>
      </c>
    </row>
    <row r="253" spans="1:7">
      <c r="A253">
        <f>_xlfn.XLOOKUP(B253,[1]Brand!$A$2:$A$88,[1]Brand!$B$2:$B$88)</f>
        <v>4</v>
      </c>
      <c r="B253">
        <v>28</v>
      </c>
      <c r="C253" t="s">
        <v>270</v>
      </c>
      <c r="D253" t="s">
        <v>299</v>
      </c>
      <c r="E253" t="s">
        <v>301</v>
      </c>
      <c r="F253">
        <v>400</v>
      </c>
      <c r="G253">
        <v>35</v>
      </c>
    </row>
    <row r="254" spans="1:7">
      <c r="A254">
        <f>_xlfn.XLOOKUP(B254,[1]Brand!$A$2:$A$88,[1]Brand!$B$2:$B$88)</f>
        <v>4</v>
      </c>
      <c r="B254">
        <v>28</v>
      </c>
      <c r="C254" t="s">
        <v>270</v>
      </c>
      <c r="D254" t="s">
        <v>299</v>
      </c>
      <c r="E254" t="s">
        <v>302</v>
      </c>
      <c r="F254">
        <v>800</v>
      </c>
      <c r="G254">
        <v>25</v>
      </c>
    </row>
    <row r="255" spans="1:7">
      <c r="A255">
        <f>_xlfn.XLOOKUP(B255,[1]Brand!$A$2:$A$88,[1]Brand!$B$2:$B$88)</f>
        <v>4</v>
      </c>
      <c r="B255">
        <v>28</v>
      </c>
      <c r="C255" t="s">
        <v>270</v>
      </c>
      <c r="D255" t="s">
        <v>299</v>
      </c>
      <c r="E255" t="s">
        <v>303</v>
      </c>
      <c r="F255">
        <v>600</v>
      </c>
      <c r="G255">
        <v>30</v>
      </c>
    </row>
    <row r="256" spans="1:7">
      <c r="A256">
        <f>_xlfn.XLOOKUP(B256,[1]Brand!$A$2:$A$88,[1]Brand!$B$2:$B$88)</f>
        <v>4</v>
      </c>
      <c r="B256">
        <v>28</v>
      </c>
      <c r="C256" t="s">
        <v>270</v>
      </c>
      <c r="D256" t="s">
        <v>299</v>
      </c>
      <c r="E256" t="s">
        <v>304</v>
      </c>
      <c r="F256">
        <v>1200</v>
      </c>
      <c r="G256">
        <v>15</v>
      </c>
    </row>
    <row r="257" spans="1:7">
      <c r="A257">
        <f>_xlfn.XLOOKUP(B257,[1]Brand!$A$2:$A$88,[1]Brand!$B$2:$B$88)</f>
        <v>5</v>
      </c>
      <c r="B257">
        <v>29</v>
      </c>
      <c r="C257" t="s">
        <v>272</v>
      </c>
      <c r="D257" t="s">
        <v>305</v>
      </c>
      <c r="E257" t="s">
        <v>306</v>
      </c>
      <c r="F257">
        <v>120</v>
      </c>
    </row>
    <row r="258" spans="1:7">
      <c r="A258">
        <f>_xlfn.XLOOKUP(B258,[1]Brand!$A$2:$A$88,[1]Brand!$B$2:$B$88)</f>
        <v>5</v>
      </c>
      <c r="B258">
        <v>29</v>
      </c>
      <c r="C258" t="s">
        <v>272</v>
      </c>
      <c r="D258" t="s">
        <v>305</v>
      </c>
      <c r="E258" t="s">
        <v>307</v>
      </c>
      <c r="F258">
        <v>220</v>
      </c>
      <c r="G258">
        <v>40</v>
      </c>
    </row>
    <row r="259" spans="1:7">
      <c r="A259">
        <f>_xlfn.XLOOKUP(B259,[1]Brand!$A$2:$A$88,[1]Brand!$B$2:$B$88)</f>
        <v>5</v>
      </c>
      <c r="B259">
        <v>29</v>
      </c>
      <c r="C259" t="s">
        <v>272</v>
      </c>
      <c r="D259" t="s">
        <v>305</v>
      </c>
      <c r="E259" t="s">
        <v>308</v>
      </c>
      <c r="F259">
        <v>150</v>
      </c>
      <c r="G259">
        <v>60</v>
      </c>
    </row>
    <row r="260" spans="1:7">
      <c r="A260">
        <f>_xlfn.XLOOKUP(B260,[1]Brand!$A$2:$A$88,[1]Brand!$B$2:$B$88)</f>
        <v>5</v>
      </c>
      <c r="B260">
        <v>29</v>
      </c>
      <c r="C260" t="s">
        <v>272</v>
      </c>
      <c r="D260" t="s">
        <v>305</v>
      </c>
      <c r="E260" t="s">
        <v>309</v>
      </c>
      <c r="F260">
        <v>230</v>
      </c>
      <c r="G260">
        <v>45</v>
      </c>
    </row>
    <row r="261" spans="1:7">
      <c r="A261">
        <f>_xlfn.XLOOKUP(B261,[1]Brand!$A$2:$A$88,[1]Brand!$B$2:$B$88)</f>
        <v>5</v>
      </c>
      <c r="B261">
        <v>29</v>
      </c>
      <c r="C261" t="s">
        <v>272</v>
      </c>
      <c r="D261" t="s">
        <v>305</v>
      </c>
      <c r="E261" t="s">
        <v>310</v>
      </c>
      <c r="F261">
        <v>170</v>
      </c>
      <c r="G261">
        <v>55</v>
      </c>
    </row>
    <row r="262" spans="1:7">
      <c r="A262">
        <f>_xlfn.XLOOKUP(B262,[1]Brand!$A$2:$A$88,[1]Brand!$B$2:$B$88)</f>
        <v>5</v>
      </c>
      <c r="B262">
        <v>30</v>
      </c>
      <c r="C262" t="s">
        <v>272</v>
      </c>
      <c r="D262" t="s">
        <v>311</v>
      </c>
      <c r="E262" t="s">
        <v>312</v>
      </c>
      <c r="F262">
        <v>299</v>
      </c>
      <c r="G262">
        <v>50</v>
      </c>
    </row>
    <row r="263" spans="1:7">
      <c r="A263">
        <f>_xlfn.XLOOKUP(B263,[1]Brand!$A$2:$A$88,[1]Brand!$B$2:$B$88)</f>
        <v>5</v>
      </c>
      <c r="B263">
        <v>30</v>
      </c>
      <c r="C263" t="s">
        <v>272</v>
      </c>
      <c r="D263" t="s">
        <v>311</v>
      </c>
      <c r="E263" t="s">
        <v>313</v>
      </c>
      <c r="F263">
        <v>349</v>
      </c>
      <c r="G263">
        <v>40</v>
      </c>
    </row>
    <row r="264" spans="1:7">
      <c r="A264">
        <f>_xlfn.XLOOKUP(B264,[1]Brand!$A$2:$A$88,[1]Brand!$B$2:$B$88)</f>
        <v>5</v>
      </c>
      <c r="B264">
        <v>30</v>
      </c>
      <c r="C264" t="s">
        <v>272</v>
      </c>
      <c r="D264" t="s">
        <v>311</v>
      </c>
      <c r="E264" t="s">
        <v>314</v>
      </c>
      <c r="F264">
        <v>399</v>
      </c>
      <c r="G264">
        <v>30</v>
      </c>
    </row>
    <row r="265" spans="1:7">
      <c r="A265">
        <f>_xlfn.XLOOKUP(B265,[1]Brand!$A$2:$A$88,[1]Brand!$B$2:$B$88)</f>
        <v>5</v>
      </c>
      <c r="B265">
        <v>30</v>
      </c>
      <c r="C265" t="s">
        <v>272</v>
      </c>
      <c r="D265" t="s">
        <v>311</v>
      </c>
      <c r="E265" t="s">
        <v>315</v>
      </c>
      <c r="F265">
        <v>199</v>
      </c>
      <c r="G265">
        <v>60</v>
      </c>
    </row>
    <row r="266" spans="1:7">
      <c r="A266">
        <f>_xlfn.XLOOKUP(B266,[1]Brand!$A$2:$A$88,[1]Brand!$B$2:$B$88)</f>
        <v>5</v>
      </c>
      <c r="B266">
        <v>30</v>
      </c>
      <c r="C266" t="s">
        <v>272</v>
      </c>
      <c r="D266" t="s">
        <v>311</v>
      </c>
      <c r="E266" t="s">
        <v>316</v>
      </c>
      <c r="F266">
        <v>249</v>
      </c>
      <c r="G266">
        <v>45</v>
      </c>
    </row>
    <row r="267" spans="1:7">
      <c r="A267">
        <f>_xlfn.XLOOKUP(B267,[1]Brand!$A$2:$A$88,[1]Brand!$B$2:$B$88)</f>
        <v>6</v>
      </c>
      <c r="B267">
        <v>31</v>
      </c>
      <c r="C267" t="s">
        <v>270</v>
      </c>
      <c r="D267" t="s">
        <v>317</v>
      </c>
      <c r="E267" t="s">
        <v>318</v>
      </c>
      <c r="F267">
        <v>800</v>
      </c>
      <c r="G267">
        <v>25</v>
      </c>
    </row>
    <row r="268" spans="1:7">
      <c r="A268">
        <f>_xlfn.XLOOKUP(B268,[1]Brand!$A$2:$A$88,[1]Brand!$B$2:$B$88)</f>
        <v>6</v>
      </c>
      <c r="B268">
        <v>31</v>
      </c>
      <c r="C268" t="s">
        <v>270</v>
      </c>
      <c r="D268" t="s">
        <v>317</v>
      </c>
      <c r="E268" t="s">
        <v>319</v>
      </c>
      <c r="F268">
        <v>999</v>
      </c>
      <c r="G268">
        <v>20</v>
      </c>
    </row>
    <row r="269" spans="1:7">
      <c r="A269">
        <f>_xlfn.XLOOKUP(B269,[1]Brand!$A$2:$A$88,[1]Brand!$B$2:$B$88)</f>
        <v>6</v>
      </c>
      <c r="B269">
        <v>31</v>
      </c>
      <c r="C269" t="s">
        <v>270</v>
      </c>
      <c r="D269" t="s">
        <v>317</v>
      </c>
      <c r="E269" t="s">
        <v>320</v>
      </c>
      <c r="F269">
        <v>500</v>
      </c>
      <c r="G269">
        <v>30</v>
      </c>
    </row>
    <row r="270" spans="1:7">
      <c r="A270">
        <f>_xlfn.XLOOKUP(B270,[1]Brand!$A$2:$A$88,[1]Brand!$B$2:$B$88)</f>
        <v>6</v>
      </c>
      <c r="B270">
        <v>31</v>
      </c>
      <c r="C270" t="s">
        <v>270</v>
      </c>
      <c r="D270" t="s">
        <v>317</v>
      </c>
      <c r="E270" t="s">
        <v>321</v>
      </c>
      <c r="F270">
        <v>1500</v>
      </c>
      <c r="G270">
        <v>15</v>
      </c>
    </row>
    <row r="271" spans="1:7">
      <c r="A271">
        <f>_xlfn.XLOOKUP(B271,[1]Brand!$A$2:$A$88,[1]Brand!$B$2:$B$88)</f>
        <v>6</v>
      </c>
      <c r="B271">
        <v>31</v>
      </c>
      <c r="C271" t="s">
        <v>270</v>
      </c>
      <c r="D271" t="s">
        <v>317</v>
      </c>
      <c r="E271" t="s">
        <v>322</v>
      </c>
      <c r="F271">
        <v>700</v>
      </c>
      <c r="G271">
        <v>35</v>
      </c>
    </row>
    <row r="272" spans="1:7">
      <c r="A272">
        <f>_xlfn.XLOOKUP(B272,[1]Brand!$A$2:$A$88,[1]Brand!$B$2:$B$88)</f>
        <v>6</v>
      </c>
      <c r="B272">
        <v>32</v>
      </c>
      <c r="C272" t="s">
        <v>270</v>
      </c>
      <c r="D272" t="s">
        <v>323</v>
      </c>
      <c r="E272" t="s">
        <v>324</v>
      </c>
      <c r="F272">
        <v>150</v>
      </c>
      <c r="G272">
        <v>40</v>
      </c>
    </row>
    <row r="273" spans="1:7">
      <c r="A273">
        <f>_xlfn.XLOOKUP(B273,[1]Brand!$A$2:$A$88,[1]Brand!$B$2:$B$88)</f>
        <v>6</v>
      </c>
      <c r="B273">
        <v>32</v>
      </c>
      <c r="C273" t="s">
        <v>270</v>
      </c>
      <c r="D273" t="s">
        <v>323</v>
      </c>
      <c r="E273" t="s">
        <v>325</v>
      </c>
      <c r="F273">
        <v>300</v>
      </c>
      <c r="G273">
        <v>30</v>
      </c>
    </row>
    <row r="274" spans="1:7">
      <c r="A274">
        <f>_xlfn.XLOOKUP(B274,[1]Brand!$A$2:$A$88,[1]Brand!$B$2:$B$88)</f>
        <v>6</v>
      </c>
      <c r="B274">
        <v>32</v>
      </c>
      <c r="C274" t="s">
        <v>270</v>
      </c>
      <c r="D274" t="s">
        <v>323</v>
      </c>
      <c r="E274" t="s">
        <v>326</v>
      </c>
      <c r="F274">
        <v>800</v>
      </c>
      <c r="G274">
        <v>20</v>
      </c>
    </row>
    <row r="275" spans="1:7">
      <c r="A275">
        <f>_xlfn.XLOOKUP(B275,[1]Brand!$A$2:$A$88,[1]Brand!$B$2:$B$88)</f>
        <v>6</v>
      </c>
      <c r="B275">
        <v>32</v>
      </c>
      <c r="C275" t="s">
        <v>270</v>
      </c>
      <c r="D275" t="s">
        <v>323</v>
      </c>
      <c r="E275" t="s">
        <v>327</v>
      </c>
      <c r="F275">
        <v>1200</v>
      </c>
      <c r="G275">
        <v>15</v>
      </c>
    </row>
    <row r="276" spans="1:7">
      <c r="A276">
        <f>_xlfn.XLOOKUP(B276,[1]Brand!$A$2:$A$88,[1]Brand!$B$2:$B$88)</f>
        <v>6</v>
      </c>
      <c r="B276">
        <v>32</v>
      </c>
      <c r="C276" t="s">
        <v>270</v>
      </c>
      <c r="D276" t="s">
        <v>323</v>
      </c>
      <c r="E276" t="s">
        <v>328</v>
      </c>
      <c r="F276">
        <v>600</v>
      </c>
      <c r="G276">
        <v>25</v>
      </c>
    </row>
    <row r="277" spans="1:7">
      <c r="A277">
        <f>_xlfn.XLOOKUP(B277,[1]Brand!$A$2:$A$88,[1]Brand!$B$2:$B$88)</f>
        <v>6</v>
      </c>
      <c r="B277">
        <v>33</v>
      </c>
      <c r="C277" t="s">
        <v>270</v>
      </c>
      <c r="D277" t="s">
        <v>329</v>
      </c>
      <c r="E277" t="s">
        <v>326</v>
      </c>
      <c r="F277">
        <v>900</v>
      </c>
      <c r="G277">
        <v>25</v>
      </c>
    </row>
    <row r="278" spans="1:7">
      <c r="A278">
        <f>_xlfn.XLOOKUP(B278,[1]Brand!$A$2:$A$88,[1]Brand!$B$2:$B$88)</f>
        <v>6</v>
      </c>
      <c r="B278">
        <v>33</v>
      </c>
      <c r="C278" t="s">
        <v>270</v>
      </c>
      <c r="D278" t="s">
        <v>329</v>
      </c>
      <c r="E278" t="s">
        <v>330</v>
      </c>
      <c r="F278">
        <v>350</v>
      </c>
      <c r="G278">
        <v>40</v>
      </c>
    </row>
    <row r="279" spans="1:7">
      <c r="A279">
        <f>_xlfn.XLOOKUP(B279,[1]Brand!$A$2:$A$88,[1]Brand!$B$2:$B$88)</f>
        <v>6</v>
      </c>
      <c r="B279">
        <v>33</v>
      </c>
      <c r="C279" t="s">
        <v>270</v>
      </c>
      <c r="D279" t="s">
        <v>329</v>
      </c>
      <c r="E279" t="s">
        <v>331</v>
      </c>
      <c r="F279">
        <v>1200</v>
      </c>
      <c r="G279">
        <v>20</v>
      </c>
    </row>
    <row r="280" spans="1:7">
      <c r="A280">
        <f>_xlfn.XLOOKUP(B280,[1]Brand!$A$2:$A$88,[1]Brand!$B$2:$B$88)</f>
        <v>6</v>
      </c>
      <c r="B280">
        <v>33</v>
      </c>
      <c r="C280" t="s">
        <v>270</v>
      </c>
      <c r="D280" t="s">
        <v>329</v>
      </c>
      <c r="E280" t="s">
        <v>332</v>
      </c>
      <c r="F280">
        <v>300</v>
      </c>
    </row>
    <row r="281" spans="1:7">
      <c r="A281">
        <f>_xlfn.XLOOKUP(B281,[1]Brand!$A$2:$A$88,[1]Brand!$B$2:$B$88)</f>
        <v>6</v>
      </c>
      <c r="B281">
        <v>33</v>
      </c>
      <c r="C281" t="s">
        <v>270</v>
      </c>
      <c r="D281" t="s">
        <v>329</v>
      </c>
      <c r="E281" t="s">
        <v>333</v>
      </c>
      <c r="F281">
        <v>800</v>
      </c>
      <c r="G281">
        <v>30</v>
      </c>
    </row>
    <row r="282" spans="1:7">
      <c r="A282">
        <f>_xlfn.XLOOKUP(B282,[1]Brand!$A$2:$A$88,[1]Brand!$B$2:$B$88)</f>
        <v>6</v>
      </c>
      <c r="B282">
        <v>34</v>
      </c>
      <c r="C282" t="s">
        <v>270</v>
      </c>
      <c r="D282" t="s">
        <v>334</v>
      </c>
      <c r="E282" t="s">
        <v>326</v>
      </c>
      <c r="F282">
        <v>1200</v>
      </c>
      <c r="G282">
        <v>20</v>
      </c>
    </row>
    <row r="283" spans="1:7">
      <c r="A283">
        <f>_xlfn.XLOOKUP(B283,[1]Brand!$A$2:$A$88,[1]Brand!$B$2:$B$88)</f>
        <v>6</v>
      </c>
      <c r="B283">
        <v>34</v>
      </c>
      <c r="C283" t="s">
        <v>270</v>
      </c>
      <c r="D283" t="s">
        <v>334</v>
      </c>
      <c r="E283" t="s">
        <v>330</v>
      </c>
      <c r="F283">
        <v>400</v>
      </c>
      <c r="G283">
        <v>35</v>
      </c>
    </row>
    <row r="284" spans="1:7">
      <c r="A284">
        <f>_xlfn.XLOOKUP(B284,[1]Brand!$A$2:$A$88,[1]Brand!$B$2:$B$88)</f>
        <v>6</v>
      </c>
      <c r="B284">
        <v>34</v>
      </c>
      <c r="C284" t="s">
        <v>270</v>
      </c>
      <c r="D284" t="s">
        <v>334</v>
      </c>
      <c r="E284" t="s">
        <v>331</v>
      </c>
      <c r="F284">
        <v>1500</v>
      </c>
      <c r="G284">
        <v>15</v>
      </c>
    </row>
    <row r="285" spans="1:7">
      <c r="A285">
        <f>_xlfn.XLOOKUP(B285,[1]Brand!$A$2:$A$88,[1]Brand!$B$2:$B$88)</f>
        <v>6</v>
      </c>
      <c r="B285">
        <v>34</v>
      </c>
      <c r="C285" t="s">
        <v>270</v>
      </c>
      <c r="D285" t="s">
        <v>334</v>
      </c>
      <c r="E285" t="s">
        <v>332</v>
      </c>
      <c r="F285">
        <v>350</v>
      </c>
      <c r="G285">
        <v>40</v>
      </c>
    </row>
    <row r="286" spans="1:7">
      <c r="A286">
        <f>_xlfn.XLOOKUP(B286,[1]Brand!$A$2:$A$88,[1]Brand!$B$2:$B$88)</f>
        <v>6</v>
      </c>
      <c r="B286">
        <v>34</v>
      </c>
      <c r="C286" t="s">
        <v>270</v>
      </c>
      <c r="D286" t="s">
        <v>334</v>
      </c>
      <c r="E286" t="s">
        <v>333</v>
      </c>
      <c r="F286">
        <v>1000</v>
      </c>
      <c r="G286">
        <v>25</v>
      </c>
    </row>
    <row r="287" spans="1:7">
      <c r="A287">
        <f>_xlfn.XLOOKUP(B287,[1]Brand!$A$2:$A$88,[1]Brand!$B$2:$B$88)</f>
        <v>6</v>
      </c>
      <c r="B287">
        <v>35</v>
      </c>
      <c r="C287" t="s">
        <v>270</v>
      </c>
      <c r="D287" t="s">
        <v>335</v>
      </c>
      <c r="E287" t="s">
        <v>336</v>
      </c>
      <c r="F287">
        <v>1200</v>
      </c>
      <c r="G287">
        <v>20</v>
      </c>
    </row>
    <row r="288" spans="1:7">
      <c r="A288">
        <f>_xlfn.XLOOKUP(B288,[1]Brand!$A$2:$A$88,[1]Brand!$B$2:$B$88)</f>
        <v>6</v>
      </c>
      <c r="B288">
        <v>35</v>
      </c>
      <c r="C288" t="s">
        <v>270</v>
      </c>
      <c r="D288" t="s">
        <v>335</v>
      </c>
      <c r="E288" t="s">
        <v>326</v>
      </c>
      <c r="F288">
        <v>1500</v>
      </c>
      <c r="G288">
        <v>25</v>
      </c>
    </row>
    <row r="289" spans="1:7">
      <c r="A289">
        <f>_xlfn.XLOOKUP(B289,[1]Brand!$A$2:$A$88,[1]Brand!$B$2:$B$88)</f>
        <v>6</v>
      </c>
      <c r="B289">
        <v>35</v>
      </c>
      <c r="C289" t="s">
        <v>270</v>
      </c>
      <c r="D289" t="s">
        <v>335</v>
      </c>
      <c r="E289" t="s">
        <v>320</v>
      </c>
      <c r="F289">
        <v>500</v>
      </c>
      <c r="G289">
        <v>30</v>
      </c>
    </row>
    <row r="290" spans="1:7">
      <c r="A290">
        <f>_xlfn.XLOOKUP(B290,[1]Brand!$A$2:$A$88,[1]Brand!$B$2:$B$88)</f>
        <v>6</v>
      </c>
      <c r="B290">
        <v>35</v>
      </c>
      <c r="C290" t="s">
        <v>270</v>
      </c>
      <c r="D290" t="s">
        <v>335</v>
      </c>
      <c r="E290" t="s">
        <v>321</v>
      </c>
      <c r="F290">
        <v>1800</v>
      </c>
      <c r="G290">
        <v>15</v>
      </c>
    </row>
    <row r="291" spans="1:7">
      <c r="A291">
        <f>_xlfn.XLOOKUP(B291,[1]Brand!$A$2:$A$88,[1]Brand!$B$2:$B$88)</f>
        <v>6</v>
      </c>
      <c r="B291">
        <v>35</v>
      </c>
      <c r="C291" t="s">
        <v>270</v>
      </c>
      <c r="D291" t="s">
        <v>335</v>
      </c>
      <c r="E291" t="s">
        <v>332</v>
      </c>
      <c r="F291">
        <v>400</v>
      </c>
      <c r="G291">
        <v>35</v>
      </c>
    </row>
    <row r="292" spans="1:7">
      <c r="A292">
        <f>_xlfn.XLOOKUP(B292,[1]Brand!$A$2:$A$88,[1]Brand!$B$2:$B$88)</f>
        <v>7</v>
      </c>
      <c r="B292">
        <v>36</v>
      </c>
      <c r="C292" t="s">
        <v>337</v>
      </c>
      <c r="D292" t="s">
        <v>338</v>
      </c>
      <c r="E292" t="s">
        <v>339</v>
      </c>
      <c r="F292">
        <v>150</v>
      </c>
      <c r="G292">
        <v>50</v>
      </c>
    </row>
    <row r="293" spans="1:7">
      <c r="A293">
        <f>_xlfn.XLOOKUP(B293,[1]Brand!$A$2:$A$88,[1]Brand!$B$2:$B$88)</f>
        <v>7</v>
      </c>
      <c r="B293">
        <v>36</v>
      </c>
      <c r="C293" t="s">
        <v>337</v>
      </c>
      <c r="D293" t="s">
        <v>338</v>
      </c>
      <c r="E293" t="s">
        <v>340</v>
      </c>
      <c r="F293">
        <v>3500</v>
      </c>
      <c r="G293">
        <v>20</v>
      </c>
    </row>
    <row r="294" spans="1:7">
      <c r="A294">
        <f>_xlfn.XLOOKUP(B294,[1]Brand!$A$2:$A$88,[1]Brand!$B$2:$B$88)</f>
        <v>7</v>
      </c>
      <c r="B294">
        <v>36</v>
      </c>
      <c r="C294" t="s">
        <v>272</v>
      </c>
      <c r="D294" t="s">
        <v>338</v>
      </c>
      <c r="E294" t="s">
        <v>341</v>
      </c>
      <c r="F294">
        <v>850</v>
      </c>
      <c r="G294">
        <v>30</v>
      </c>
    </row>
    <row r="295" spans="1:7">
      <c r="A295">
        <f>_xlfn.XLOOKUP(B295,[1]Brand!$A$2:$A$88,[1]Brand!$B$2:$B$88)</f>
        <v>7</v>
      </c>
      <c r="B295">
        <v>36</v>
      </c>
      <c r="C295" t="s">
        <v>272</v>
      </c>
      <c r="D295" t="s">
        <v>338</v>
      </c>
      <c r="E295" t="s">
        <v>342</v>
      </c>
      <c r="F295">
        <v>1400</v>
      </c>
      <c r="G295">
        <v>25</v>
      </c>
    </row>
    <row r="296" spans="1:7">
      <c r="A296">
        <f>_xlfn.XLOOKUP(B296,[1]Brand!$A$2:$A$88,[1]Brand!$B$2:$B$88)</f>
        <v>7</v>
      </c>
      <c r="B296">
        <v>36</v>
      </c>
      <c r="C296" t="s">
        <v>337</v>
      </c>
      <c r="D296" t="s">
        <v>338</v>
      </c>
      <c r="E296" t="s">
        <v>343</v>
      </c>
      <c r="F296">
        <v>2500</v>
      </c>
      <c r="G296">
        <v>15</v>
      </c>
    </row>
    <row r="297" spans="1:7">
      <c r="A297">
        <f>_xlfn.XLOOKUP(B297,[1]Brand!$A$2:$A$88,[1]Brand!$B$2:$B$88)</f>
        <v>7</v>
      </c>
      <c r="B297">
        <v>36</v>
      </c>
      <c r="C297" t="s">
        <v>337</v>
      </c>
      <c r="D297" t="s">
        <v>338</v>
      </c>
      <c r="E297" t="s">
        <v>344</v>
      </c>
      <c r="F297">
        <v>100</v>
      </c>
      <c r="G297">
        <v>60</v>
      </c>
    </row>
    <row r="298" spans="1:7">
      <c r="A298">
        <f>_xlfn.XLOOKUP(B298,[1]Brand!$A$2:$A$88,[1]Brand!$B$2:$B$88)</f>
        <v>7</v>
      </c>
      <c r="B298">
        <v>36</v>
      </c>
      <c r="C298" t="s">
        <v>337</v>
      </c>
      <c r="D298" t="s">
        <v>338</v>
      </c>
      <c r="E298" t="s">
        <v>345</v>
      </c>
      <c r="F298">
        <v>1500</v>
      </c>
      <c r="G298">
        <v>25</v>
      </c>
    </row>
    <row r="299" spans="1:7">
      <c r="A299">
        <f>_xlfn.XLOOKUP(B299,[1]Brand!$A$2:$A$88,[1]Brand!$B$2:$B$88)</f>
        <v>7</v>
      </c>
      <c r="B299">
        <v>36</v>
      </c>
      <c r="C299" t="s">
        <v>272</v>
      </c>
      <c r="D299" t="s">
        <v>338</v>
      </c>
      <c r="E299" t="s">
        <v>346</v>
      </c>
      <c r="F299">
        <v>1200</v>
      </c>
      <c r="G299">
        <v>35</v>
      </c>
    </row>
    <row r="300" spans="1:7">
      <c r="A300">
        <f>_xlfn.XLOOKUP(B300,[1]Brand!$A$2:$A$88,[1]Brand!$B$2:$B$88)</f>
        <v>7</v>
      </c>
      <c r="B300">
        <v>36</v>
      </c>
      <c r="C300" t="s">
        <v>337</v>
      </c>
      <c r="D300" t="s">
        <v>338</v>
      </c>
      <c r="E300" t="s">
        <v>347</v>
      </c>
      <c r="F300">
        <v>7000</v>
      </c>
      <c r="G300">
        <v>10</v>
      </c>
    </row>
    <row r="301" spans="1:7">
      <c r="A301">
        <f>_xlfn.XLOOKUP(B301,[1]Brand!$A$2:$A$88,[1]Brand!$B$2:$B$88)</f>
        <v>7</v>
      </c>
      <c r="B301">
        <v>36</v>
      </c>
      <c r="C301" t="s">
        <v>272</v>
      </c>
      <c r="D301" t="s">
        <v>338</v>
      </c>
      <c r="E301" t="s">
        <v>348</v>
      </c>
      <c r="F301">
        <v>2000</v>
      </c>
      <c r="G301">
        <v>20</v>
      </c>
    </row>
    <row r="302" spans="1:7">
      <c r="A302">
        <f>_xlfn.XLOOKUP(B302,[1]Brand!$A$2:$A$88,[1]Brand!$B$2:$B$88)</f>
        <v>7</v>
      </c>
      <c r="B302">
        <v>37</v>
      </c>
      <c r="C302" t="s">
        <v>337</v>
      </c>
      <c r="D302" t="s">
        <v>349</v>
      </c>
      <c r="E302" t="s">
        <v>350</v>
      </c>
      <c r="F302">
        <v>1200</v>
      </c>
      <c r="G302">
        <v>30</v>
      </c>
    </row>
    <row r="303" spans="1:7">
      <c r="A303">
        <f>_xlfn.XLOOKUP(B303,[1]Brand!$A$2:$A$88,[1]Brand!$B$2:$B$88)</f>
        <v>7</v>
      </c>
      <c r="B303">
        <v>37</v>
      </c>
      <c r="C303" t="s">
        <v>337</v>
      </c>
      <c r="D303" t="s">
        <v>349</v>
      </c>
      <c r="E303" t="s">
        <v>351</v>
      </c>
      <c r="F303">
        <v>800</v>
      </c>
      <c r="G303">
        <v>40</v>
      </c>
    </row>
    <row r="304" spans="1:7">
      <c r="A304">
        <f>_xlfn.XLOOKUP(B304,[1]Brand!$A$2:$A$88,[1]Brand!$B$2:$B$88)</f>
        <v>7</v>
      </c>
      <c r="B304">
        <v>37</v>
      </c>
      <c r="C304" t="s">
        <v>337</v>
      </c>
      <c r="D304" t="s">
        <v>349</v>
      </c>
      <c r="E304" t="s">
        <v>352</v>
      </c>
      <c r="F304">
        <v>6000</v>
      </c>
      <c r="G304">
        <v>20</v>
      </c>
    </row>
    <row r="305" spans="1:7">
      <c r="A305">
        <f>_xlfn.XLOOKUP(B305,[1]Brand!$A$2:$A$88,[1]Brand!$B$2:$B$88)</f>
        <v>7</v>
      </c>
      <c r="B305">
        <v>37</v>
      </c>
      <c r="C305" t="s">
        <v>337</v>
      </c>
      <c r="D305" t="s">
        <v>349</v>
      </c>
      <c r="E305" t="s">
        <v>353</v>
      </c>
      <c r="F305">
        <v>2500</v>
      </c>
      <c r="G305">
        <v>25</v>
      </c>
    </row>
    <row r="306" spans="1:7">
      <c r="A306">
        <f>_xlfn.XLOOKUP(B306,[1]Brand!$A$2:$A$88,[1]Brand!$B$2:$B$88)</f>
        <v>7</v>
      </c>
      <c r="B306">
        <v>37</v>
      </c>
      <c r="C306" t="s">
        <v>337</v>
      </c>
      <c r="D306" t="s">
        <v>349</v>
      </c>
      <c r="E306" t="s">
        <v>354</v>
      </c>
      <c r="F306">
        <v>1500</v>
      </c>
      <c r="G306">
        <v>35</v>
      </c>
    </row>
    <row r="307" spans="1:7">
      <c r="A307">
        <f>_xlfn.XLOOKUP(B307,[1]Brand!$A$2:$A$88,[1]Brand!$B$2:$B$88)</f>
        <v>7</v>
      </c>
      <c r="B307">
        <v>37</v>
      </c>
      <c r="C307" t="s">
        <v>337</v>
      </c>
      <c r="D307" t="s">
        <v>349</v>
      </c>
      <c r="E307" t="s">
        <v>355</v>
      </c>
      <c r="F307">
        <v>4000</v>
      </c>
      <c r="G307">
        <v>15</v>
      </c>
    </row>
    <row r="308" spans="1:7">
      <c r="A308">
        <f>_xlfn.XLOOKUP(B308,[1]Brand!$A$2:$A$88,[1]Brand!$B$2:$B$88)</f>
        <v>7</v>
      </c>
      <c r="B308">
        <v>37</v>
      </c>
      <c r="C308" t="s">
        <v>337</v>
      </c>
      <c r="D308" t="s">
        <v>349</v>
      </c>
      <c r="E308" t="s">
        <v>356</v>
      </c>
      <c r="F308">
        <v>2000</v>
      </c>
      <c r="G308">
        <v>25</v>
      </c>
    </row>
    <row r="309" spans="1:7">
      <c r="A309">
        <f>_xlfn.XLOOKUP(B309,[1]Brand!$A$2:$A$88,[1]Brand!$B$2:$B$88)</f>
        <v>7</v>
      </c>
      <c r="B309">
        <v>37</v>
      </c>
      <c r="C309" t="s">
        <v>337</v>
      </c>
      <c r="D309" t="s">
        <v>349</v>
      </c>
      <c r="E309" t="s">
        <v>357</v>
      </c>
      <c r="F309">
        <v>600</v>
      </c>
    </row>
    <row r="310" spans="1:7">
      <c r="A310">
        <f>_xlfn.XLOOKUP(B310,[1]Brand!$A$2:$A$88,[1]Brand!$B$2:$B$88)</f>
        <v>7</v>
      </c>
      <c r="B310">
        <v>37</v>
      </c>
      <c r="C310" t="s">
        <v>337</v>
      </c>
      <c r="D310" t="s">
        <v>349</v>
      </c>
      <c r="E310" t="s">
        <v>358</v>
      </c>
      <c r="F310">
        <v>150</v>
      </c>
      <c r="G310">
        <v>60</v>
      </c>
    </row>
    <row r="311" spans="1:7">
      <c r="A311">
        <f>_xlfn.XLOOKUP(B311,[1]Brand!$A$2:$A$88,[1]Brand!$B$2:$B$88)</f>
        <v>7</v>
      </c>
      <c r="B311">
        <v>37</v>
      </c>
      <c r="C311" t="s">
        <v>337</v>
      </c>
      <c r="D311" t="s">
        <v>349</v>
      </c>
      <c r="E311" t="s">
        <v>359</v>
      </c>
      <c r="F311">
        <v>3000</v>
      </c>
      <c r="G311">
        <v>20</v>
      </c>
    </row>
    <row r="312" spans="1:7">
      <c r="A312">
        <f>_xlfn.XLOOKUP(B312,[1]Brand!$A$2:$A$88,[1]Brand!$B$2:$B$88)</f>
        <v>7</v>
      </c>
      <c r="B312">
        <v>38</v>
      </c>
      <c r="C312" t="s">
        <v>337</v>
      </c>
      <c r="D312" t="s">
        <v>360</v>
      </c>
      <c r="E312" t="s">
        <v>361</v>
      </c>
      <c r="F312">
        <v>15000</v>
      </c>
      <c r="G312">
        <v>20</v>
      </c>
    </row>
    <row r="313" spans="1:7">
      <c r="A313">
        <f>_xlfn.XLOOKUP(B313,[1]Brand!$A$2:$A$88,[1]Brand!$B$2:$B$88)</f>
        <v>7</v>
      </c>
      <c r="B313">
        <v>38</v>
      </c>
      <c r="C313" t="s">
        <v>337</v>
      </c>
      <c r="D313" t="s">
        <v>360</v>
      </c>
      <c r="E313" t="s">
        <v>362</v>
      </c>
      <c r="F313">
        <v>25000</v>
      </c>
      <c r="G313">
        <v>15</v>
      </c>
    </row>
    <row r="314" spans="1:7">
      <c r="A314">
        <f>_xlfn.XLOOKUP(B314,[1]Brand!$A$2:$A$88,[1]Brand!$B$2:$B$88)</f>
        <v>7</v>
      </c>
      <c r="B314">
        <v>38</v>
      </c>
      <c r="C314" t="s">
        <v>337</v>
      </c>
      <c r="D314" t="s">
        <v>360</v>
      </c>
      <c r="E314" t="s">
        <v>363</v>
      </c>
      <c r="F314">
        <v>18000</v>
      </c>
      <c r="G314">
        <v>10</v>
      </c>
    </row>
    <row r="315" spans="1:7">
      <c r="A315">
        <f>_xlfn.XLOOKUP(B315,[1]Brand!$A$2:$A$88,[1]Brand!$B$2:$B$88)</f>
        <v>7</v>
      </c>
      <c r="B315">
        <v>38</v>
      </c>
      <c r="C315" t="s">
        <v>337</v>
      </c>
      <c r="D315" t="s">
        <v>360</v>
      </c>
      <c r="E315" t="s">
        <v>364</v>
      </c>
      <c r="F315">
        <v>35000</v>
      </c>
      <c r="G315">
        <v>8</v>
      </c>
    </row>
    <row r="316" spans="1:7">
      <c r="A316">
        <f>_xlfn.XLOOKUP(B316,[1]Brand!$A$2:$A$88,[1]Brand!$B$2:$B$88)</f>
        <v>7</v>
      </c>
      <c r="B316">
        <v>38</v>
      </c>
      <c r="C316" t="s">
        <v>337</v>
      </c>
      <c r="D316" t="s">
        <v>360</v>
      </c>
      <c r="E316" t="s">
        <v>365</v>
      </c>
      <c r="F316">
        <v>7000</v>
      </c>
      <c r="G316">
        <v>25</v>
      </c>
    </row>
    <row r="317" spans="1:7">
      <c r="A317">
        <f>_xlfn.XLOOKUP(B317,[1]Brand!$A$2:$A$88,[1]Brand!$B$2:$B$88)</f>
        <v>7</v>
      </c>
      <c r="B317">
        <v>38</v>
      </c>
      <c r="C317" t="s">
        <v>337</v>
      </c>
      <c r="D317" t="s">
        <v>360</v>
      </c>
      <c r="E317" t="s">
        <v>366</v>
      </c>
      <c r="F317">
        <v>25000</v>
      </c>
      <c r="G317">
        <v>18</v>
      </c>
    </row>
    <row r="318" spans="1:7">
      <c r="A318">
        <f>_xlfn.XLOOKUP(B318,[1]Brand!$A$2:$A$88,[1]Brand!$B$2:$B$88)</f>
        <v>7</v>
      </c>
      <c r="B318">
        <v>38</v>
      </c>
      <c r="C318" t="s">
        <v>337</v>
      </c>
      <c r="D318" t="s">
        <v>360</v>
      </c>
      <c r="E318" t="s">
        <v>367</v>
      </c>
      <c r="F318">
        <v>30000</v>
      </c>
      <c r="G318">
        <v>12</v>
      </c>
    </row>
    <row r="319" spans="1:7">
      <c r="A319">
        <f>_xlfn.XLOOKUP(B319,[1]Brand!$A$2:$A$88,[1]Brand!$B$2:$B$88)</f>
        <v>7</v>
      </c>
      <c r="B319">
        <v>38</v>
      </c>
      <c r="C319" t="s">
        <v>337</v>
      </c>
      <c r="D319" t="s">
        <v>360</v>
      </c>
      <c r="E319" t="s">
        <v>368</v>
      </c>
      <c r="F319">
        <v>22000</v>
      </c>
      <c r="G319">
        <v>10</v>
      </c>
    </row>
    <row r="320" spans="1:7">
      <c r="A320">
        <f>_xlfn.XLOOKUP(B320,[1]Brand!$A$2:$A$88,[1]Brand!$B$2:$B$88)</f>
        <v>7</v>
      </c>
      <c r="B320">
        <v>38</v>
      </c>
      <c r="C320" t="s">
        <v>337</v>
      </c>
      <c r="D320" t="s">
        <v>360</v>
      </c>
      <c r="E320" t="s">
        <v>369</v>
      </c>
      <c r="F320">
        <v>45000</v>
      </c>
      <c r="G320">
        <v>7</v>
      </c>
    </row>
    <row r="321" spans="1:7">
      <c r="A321">
        <f>_xlfn.XLOOKUP(B321,[1]Brand!$A$2:$A$88,[1]Brand!$B$2:$B$88)</f>
        <v>7</v>
      </c>
      <c r="B321">
        <v>38</v>
      </c>
      <c r="C321" t="s">
        <v>337</v>
      </c>
      <c r="D321" t="s">
        <v>360</v>
      </c>
      <c r="E321" t="s">
        <v>370</v>
      </c>
      <c r="F321">
        <v>10000</v>
      </c>
      <c r="G321">
        <v>20</v>
      </c>
    </row>
    <row r="322" spans="1:7">
      <c r="A322">
        <f>_xlfn.XLOOKUP(B322,[1]Brand!$A$2:$A$88,[1]Brand!$B$2:$B$88)</f>
        <v>7</v>
      </c>
      <c r="B322">
        <v>39</v>
      </c>
      <c r="C322" t="s">
        <v>337</v>
      </c>
      <c r="D322" t="s">
        <v>371</v>
      </c>
      <c r="E322" t="s">
        <v>372</v>
      </c>
      <c r="F322">
        <v>14000</v>
      </c>
      <c r="G322">
        <v>25</v>
      </c>
    </row>
    <row r="323" spans="1:7">
      <c r="A323">
        <f>_xlfn.XLOOKUP(B323,[1]Brand!$A$2:$A$88,[1]Brand!$B$2:$B$88)</f>
        <v>7</v>
      </c>
      <c r="B323">
        <v>39</v>
      </c>
      <c r="C323" t="s">
        <v>337</v>
      </c>
      <c r="D323" t="s">
        <v>371</v>
      </c>
      <c r="E323" t="s">
        <v>373</v>
      </c>
      <c r="F323">
        <v>24000</v>
      </c>
      <c r="G323">
        <v>18</v>
      </c>
    </row>
    <row r="324" spans="1:7">
      <c r="A324">
        <f>_xlfn.XLOOKUP(B324,[1]Brand!$A$2:$A$88,[1]Brand!$B$2:$B$88)</f>
        <v>7</v>
      </c>
      <c r="B324">
        <v>39</v>
      </c>
      <c r="C324" t="s">
        <v>337</v>
      </c>
      <c r="D324" t="s">
        <v>371</v>
      </c>
      <c r="E324" t="s">
        <v>374</v>
      </c>
      <c r="F324">
        <v>17000</v>
      </c>
      <c r="G324">
        <v>12</v>
      </c>
    </row>
    <row r="325" spans="1:7">
      <c r="A325">
        <f>_xlfn.XLOOKUP(B325,[1]Brand!$A$2:$A$88,[1]Brand!$B$2:$B$88)</f>
        <v>7</v>
      </c>
      <c r="B325">
        <v>39</v>
      </c>
      <c r="C325" t="s">
        <v>337</v>
      </c>
      <c r="D325" t="s">
        <v>371</v>
      </c>
      <c r="E325" t="s">
        <v>375</v>
      </c>
      <c r="F325">
        <v>34000</v>
      </c>
      <c r="G325">
        <v>10</v>
      </c>
    </row>
    <row r="326" spans="1:7">
      <c r="A326">
        <f>_xlfn.XLOOKUP(B326,[1]Brand!$A$2:$A$88,[1]Brand!$B$2:$B$88)</f>
        <v>7</v>
      </c>
      <c r="B326">
        <v>39</v>
      </c>
      <c r="C326" t="s">
        <v>337</v>
      </c>
      <c r="D326" t="s">
        <v>371</v>
      </c>
      <c r="E326" t="s">
        <v>376</v>
      </c>
      <c r="F326">
        <v>9000</v>
      </c>
      <c r="G326">
        <v>20</v>
      </c>
    </row>
    <row r="327" spans="1:7">
      <c r="A327">
        <f>_xlfn.XLOOKUP(B327,[1]Brand!$A$2:$A$88,[1]Brand!$B$2:$B$88)</f>
        <v>7</v>
      </c>
      <c r="B327">
        <v>39</v>
      </c>
      <c r="C327" t="s">
        <v>337</v>
      </c>
      <c r="D327" t="s">
        <v>371</v>
      </c>
      <c r="E327" t="s">
        <v>377</v>
      </c>
      <c r="F327">
        <v>25000</v>
      </c>
      <c r="G327">
        <v>20</v>
      </c>
    </row>
    <row r="328" spans="1:7">
      <c r="A328">
        <f>_xlfn.XLOOKUP(B328,[1]Brand!$A$2:$A$88,[1]Brand!$B$2:$B$88)</f>
        <v>7</v>
      </c>
      <c r="B328">
        <v>39</v>
      </c>
      <c r="C328" t="s">
        <v>337</v>
      </c>
      <c r="D328" t="s">
        <v>371</v>
      </c>
      <c r="E328" t="s">
        <v>378</v>
      </c>
      <c r="F328">
        <v>30000</v>
      </c>
      <c r="G328">
        <v>15</v>
      </c>
    </row>
    <row r="329" spans="1:7">
      <c r="A329">
        <f>_xlfn.XLOOKUP(B329,[1]Brand!$A$2:$A$88,[1]Brand!$B$2:$B$88)</f>
        <v>7</v>
      </c>
      <c r="B329">
        <v>39</v>
      </c>
      <c r="C329" t="s">
        <v>337</v>
      </c>
      <c r="D329" t="s">
        <v>371</v>
      </c>
      <c r="E329" t="s">
        <v>379</v>
      </c>
      <c r="F329">
        <v>23000</v>
      </c>
      <c r="G329">
        <v>10</v>
      </c>
    </row>
    <row r="330" spans="1:7">
      <c r="A330">
        <f>_xlfn.XLOOKUP(B330,[1]Brand!$A$2:$A$88,[1]Brand!$B$2:$B$88)</f>
        <v>7</v>
      </c>
      <c r="B330">
        <v>39</v>
      </c>
      <c r="C330" t="s">
        <v>337</v>
      </c>
      <c r="D330" t="s">
        <v>371</v>
      </c>
      <c r="E330" t="s">
        <v>380</v>
      </c>
      <c r="F330">
        <v>45000</v>
      </c>
      <c r="G330">
        <v>8</v>
      </c>
    </row>
    <row r="331" spans="1:7">
      <c r="A331">
        <f>_xlfn.XLOOKUP(B331,[1]Brand!$A$2:$A$88,[1]Brand!$B$2:$B$88)</f>
        <v>7</v>
      </c>
      <c r="B331">
        <v>39</v>
      </c>
      <c r="C331" t="s">
        <v>337</v>
      </c>
      <c r="D331" t="s">
        <v>371</v>
      </c>
      <c r="E331" t="s">
        <v>381</v>
      </c>
      <c r="F331">
        <v>12000</v>
      </c>
      <c r="G331">
        <v>18</v>
      </c>
    </row>
    <row r="332" spans="1:7">
      <c r="A332">
        <f>_xlfn.XLOOKUP(B332,[1]Brand!$A$2:$A$88,[1]Brand!$B$2:$B$88)</f>
        <v>7</v>
      </c>
      <c r="B332">
        <v>40</v>
      </c>
      <c r="C332" t="s">
        <v>337</v>
      </c>
      <c r="D332" t="s">
        <v>382</v>
      </c>
      <c r="E332" t="s">
        <v>383</v>
      </c>
      <c r="F332">
        <v>35000</v>
      </c>
      <c r="G332">
        <v>10</v>
      </c>
    </row>
    <row r="333" spans="1:7">
      <c r="A333">
        <f>_xlfn.XLOOKUP(B333,[1]Brand!$A$2:$A$88,[1]Brand!$B$2:$B$88)</f>
        <v>7</v>
      </c>
      <c r="B333">
        <v>40</v>
      </c>
      <c r="C333" t="s">
        <v>337</v>
      </c>
      <c r="D333" t="s">
        <v>382</v>
      </c>
      <c r="E333" t="s">
        <v>384</v>
      </c>
      <c r="F333">
        <v>24000</v>
      </c>
      <c r="G333">
        <v>15</v>
      </c>
    </row>
    <row r="334" spans="1:7">
      <c r="A334">
        <f>_xlfn.XLOOKUP(B334,[1]Brand!$A$2:$A$88,[1]Brand!$B$2:$B$88)</f>
        <v>7</v>
      </c>
      <c r="B334">
        <v>40</v>
      </c>
      <c r="C334" t="s">
        <v>337</v>
      </c>
      <c r="D334" t="s">
        <v>382</v>
      </c>
      <c r="E334" t="s">
        <v>385</v>
      </c>
      <c r="F334">
        <v>18000</v>
      </c>
      <c r="G334">
        <v>12</v>
      </c>
    </row>
    <row r="335" spans="1:7">
      <c r="A335">
        <f>_xlfn.XLOOKUP(B335,[1]Brand!$A$2:$A$88,[1]Brand!$B$2:$B$88)</f>
        <v>7</v>
      </c>
      <c r="B335">
        <v>40</v>
      </c>
      <c r="C335" t="s">
        <v>337</v>
      </c>
      <c r="D335" t="s">
        <v>382</v>
      </c>
      <c r="E335" t="s">
        <v>386</v>
      </c>
      <c r="F335">
        <v>6000</v>
      </c>
      <c r="G335">
        <v>20</v>
      </c>
    </row>
    <row r="336" spans="1:7">
      <c r="A336">
        <f>_xlfn.XLOOKUP(B336,[1]Brand!$A$2:$A$88,[1]Brand!$B$2:$B$88)</f>
        <v>7</v>
      </c>
      <c r="B336">
        <v>40</v>
      </c>
      <c r="C336" t="s">
        <v>337</v>
      </c>
      <c r="D336" t="s">
        <v>382</v>
      </c>
      <c r="E336" t="s">
        <v>387</v>
      </c>
      <c r="F336">
        <v>1500</v>
      </c>
      <c r="G336">
        <v>30</v>
      </c>
    </row>
    <row r="337" spans="1:7">
      <c r="A337">
        <f>_xlfn.XLOOKUP(B337,[1]Brand!$A$2:$A$88,[1]Brand!$B$2:$B$88)</f>
        <v>7</v>
      </c>
      <c r="B337">
        <v>40</v>
      </c>
      <c r="C337" t="s">
        <v>337</v>
      </c>
      <c r="D337" t="s">
        <v>382</v>
      </c>
      <c r="E337" t="s">
        <v>388</v>
      </c>
      <c r="F337">
        <v>32000</v>
      </c>
      <c r="G337">
        <v>12</v>
      </c>
    </row>
    <row r="338" spans="1:7">
      <c r="A338">
        <f>_xlfn.XLOOKUP(B338,[1]Brand!$A$2:$A$88,[1]Brand!$B$2:$B$88)</f>
        <v>7</v>
      </c>
      <c r="B338">
        <v>40</v>
      </c>
      <c r="C338" t="s">
        <v>337</v>
      </c>
      <c r="D338" t="s">
        <v>382</v>
      </c>
      <c r="E338" t="s">
        <v>389</v>
      </c>
      <c r="F338">
        <v>28000</v>
      </c>
      <c r="G338">
        <v>10</v>
      </c>
    </row>
    <row r="339" spans="1:7">
      <c r="A339">
        <f>_xlfn.XLOOKUP(B339,[1]Brand!$A$2:$A$88,[1]Brand!$B$2:$B$88)</f>
        <v>7</v>
      </c>
      <c r="B339">
        <v>40</v>
      </c>
      <c r="C339" t="s">
        <v>337</v>
      </c>
      <c r="D339" t="s">
        <v>382</v>
      </c>
      <c r="E339" t="s">
        <v>390</v>
      </c>
      <c r="F339">
        <v>12000</v>
      </c>
      <c r="G339">
        <v>15</v>
      </c>
    </row>
    <row r="340" spans="1:7">
      <c r="A340">
        <f>_xlfn.XLOOKUP(B340,[1]Brand!$A$2:$A$88,[1]Brand!$B$2:$B$88)</f>
        <v>7</v>
      </c>
      <c r="B340">
        <v>40</v>
      </c>
      <c r="C340" t="s">
        <v>337</v>
      </c>
      <c r="D340" t="s">
        <v>382</v>
      </c>
      <c r="E340" t="s">
        <v>391</v>
      </c>
      <c r="F340">
        <v>45000</v>
      </c>
      <c r="G340">
        <v>8</v>
      </c>
    </row>
    <row r="341" spans="1:7">
      <c r="A341">
        <f>_xlfn.XLOOKUP(B341,[1]Brand!$A$2:$A$88,[1]Brand!$B$2:$B$88)</f>
        <v>7</v>
      </c>
      <c r="B341">
        <v>40</v>
      </c>
      <c r="C341" t="s">
        <v>337</v>
      </c>
      <c r="D341" t="s">
        <v>382</v>
      </c>
      <c r="E341" t="s">
        <v>392</v>
      </c>
      <c r="F341">
        <v>1200</v>
      </c>
      <c r="G341">
        <v>25</v>
      </c>
    </row>
    <row r="342" spans="1:7">
      <c r="A342">
        <f>_xlfn.XLOOKUP(B342,[1]Brand!$A$2:$A$88,[1]Brand!$B$2:$B$88)</f>
        <v>7</v>
      </c>
      <c r="B342">
        <v>41</v>
      </c>
      <c r="C342" t="s">
        <v>337</v>
      </c>
      <c r="D342" t="s">
        <v>393</v>
      </c>
      <c r="E342" t="s">
        <v>394</v>
      </c>
      <c r="F342">
        <v>32999</v>
      </c>
      <c r="G342">
        <v>15</v>
      </c>
    </row>
    <row r="343" spans="1:7">
      <c r="A343">
        <f>_xlfn.XLOOKUP(B343,[1]Brand!$A$2:$A$88,[1]Brand!$B$2:$B$88)</f>
        <v>7</v>
      </c>
      <c r="B343">
        <v>41</v>
      </c>
      <c r="C343" t="s">
        <v>395</v>
      </c>
      <c r="D343" t="s">
        <v>393</v>
      </c>
      <c r="E343" t="s">
        <v>396</v>
      </c>
      <c r="F343">
        <v>4499</v>
      </c>
      <c r="G343">
        <v>25</v>
      </c>
    </row>
    <row r="344" spans="1:7">
      <c r="A344">
        <f>_xlfn.XLOOKUP(B344,[1]Brand!$A$2:$A$88,[1]Brand!$B$2:$B$88)</f>
        <v>7</v>
      </c>
      <c r="B344">
        <v>41</v>
      </c>
      <c r="C344" t="s">
        <v>397</v>
      </c>
      <c r="D344" t="s">
        <v>393</v>
      </c>
      <c r="E344" t="s">
        <v>398</v>
      </c>
      <c r="F344">
        <v>2999</v>
      </c>
      <c r="G344">
        <v>30</v>
      </c>
    </row>
    <row r="345" spans="1:7">
      <c r="A345">
        <f>_xlfn.XLOOKUP(B345,[1]Brand!$A$2:$A$88,[1]Brand!$B$2:$B$88)</f>
        <v>7</v>
      </c>
      <c r="B345">
        <v>41</v>
      </c>
      <c r="C345" t="s">
        <v>337</v>
      </c>
      <c r="D345" t="s">
        <v>393</v>
      </c>
      <c r="E345" t="s">
        <v>399</v>
      </c>
      <c r="F345">
        <v>14999</v>
      </c>
      <c r="G345">
        <v>10</v>
      </c>
    </row>
    <row r="346" spans="1:7">
      <c r="A346">
        <f>_xlfn.XLOOKUP(B346,[1]Brand!$A$2:$A$88,[1]Brand!$B$2:$B$88)</f>
        <v>7</v>
      </c>
      <c r="B346">
        <v>41</v>
      </c>
      <c r="C346" t="s">
        <v>395</v>
      </c>
      <c r="D346" t="s">
        <v>393</v>
      </c>
      <c r="E346" t="s">
        <v>400</v>
      </c>
      <c r="F346">
        <v>3299</v>
      </c>
      <c r="G346">
        <v>20</v>
      </c>
    </row>
    <row r="347" spans="1:7">
      <c r="A347">
        <f>_xlfn.XLOOKUP(B347,[1]Brand!$A$2:$A$88,[1]Brand!$B$2:$B$88)</f>
        <v>7</v>
      </c>
      <c r="B347">
        <v>42</v>
      </c>
      <c r="C347" t="s">
        <v>337</v>
      </c>
      <c r="D347" t="s">
        <v>401</v>
      </c>
      <c r="E347" t="s">
        <v>402</v>
      </c>
      <c r="F347">
        <v>28999</v>
      </c>
      <c r="G347">
        <v>12</v>
      </c>
    </row>
    <row r="348" spans="1:7">
      <c r="A348">
        <f>_xlfn.XLOOKUP(B348,[1]Brand!$A$2:$A$88,[1]Brand!$B$2:$B$88)</f>
        <v>7</v>
      </c>
      <c r="B348">
        <v>42</v>
      </c>
      <c r="C348" t="s">
        <v>337</v>
      </c>
      <c r="D348" t="s">
        <v>401</v>
      </c>
      <c r="E348" t="s">
        <v>403</v>
      </c>
      <c r="F348">
        <v>10499</v>
      </c>
      <c r="G348">
        <v>18</v>
      </c>
    </row>
    <row r="349" spans="1:7">
      <c r="A349">
        <f>_xlfn.XLOOKUP(B349,[1]Brand!$A$2:$A$88,[1]Brand!$B$2:$B$88)</f>
        <v>7</v>
      </c>
      <c r="B349">
        <v>42</v>
      </c>
      <c r="C349" t="s">
        <v>337</v>
      </c>
      <c r="D349" t="s">
        <v>401</v>
      </c>
      <c r="E349" t="s">
        <v>404</v>
      </c>
      <c r="F349">
        <v>1499</v>
      </c>
      <c r="G349">
        <v>35</v>
      </c>
    </row>
    <row r="350" spans="1:7">
      <c r="A350">
        <f>_xlfn.XLOOKUP(B350,[1]Brand!$A$2:$A$88,[1]Brand!$B$2:$B$88)</f>
        <v>7</v>
      </c>
      <c r="B350">
        <v>42</v>
      </c>
      <c r="C350" t="s">
        <v>337</v>
      </c>
      <c r="D350" t="s">
        <v>401</v>
      </c>
      <c r="E350" t="s">
        <v>405</v>
      </c>
      <c r="F350">
        <v>42999</v>
      </c>
      <c r="G350">
        <v>8</v>
      </c>
    </row>
    <row r="351" spans="1:7">
      <c r="A351">
        <f>_xlfn.XLOOKUP(B351,[1]Brand!$A$2:$A$88,[1]Brand!$B$2:$B$88)</f>
        <v>7</v>
      </c>
      <c r="B351">
        <v>42</v>
      </c>
      <c r="C351" t="s">
        <v>337</v>
      </c>
      <c r="D351" t="s">
        <v>401</v>
      </c>
      <c r="E351" t="s">
        <v>406</v>
      </c>
      <c r="F351">
        <v>7999</v>
      </c>
      <c r="G351">
        <v>20</v>
      </c>
    </row>
    <row r="352" spans="1:7">
      <c r="A352">
        <f>_xlfn.XLOOKUP(B352,[1]Brand!$A$2:$A$88,[1]Brand!$B$2:$B$88)</f>
        <v>8</v>
      </c>
      <c r="B352">
        <v>43</v>
      </c>
      <c r="C352" t="s">
        <v>407</v>
      </c>
      <c r="D352" t="s">
        <v>408</v>
      </c>
      <c r="E352" t="s">
        <v>409</v>
      </c>
      <c r="F352">
        <v>799</v>
      </c>
      <c r="G352">
        <v>50</v>
      </c>
    </row>
    <row r="353" spans="1:7">
      <c r="A353">
        <f>_xlfn.XLOOKUP(B353,[1]Brand!$A$2:$A$88,[1]Brand!$B$2:$B$88)</f>
        <v>8</v>
      </c>
      <c r="B353">
        <v>43</v>
      </c>
      <c r="C353" t="s">
        <v>407</v>
      </c>
      <c r="D353" t="s">
        <v>408</v>
      </c>
      <c r="E353" t="s">
        <v>410</v>
      </c>
      <c r="F353">
        <v>3499</v>
      </c>
      <c r="G353">
        <v>20</v>
      </c>
    </row>
    <row r="354" spans="1:7">
      <c r="A354">
        <f>_xlfn.XLOOKUP(B354,[1]Brand!$A$2:$A$88,[1]Brand!$B$2:$B$88)</f>
        <v>8</v>
      </c>
      <c r="B354">
        <v>43</v>
      </c>
      <c r="C354" t="s">
        <v>407</v>
      </c>
      <c r="D354" t="s">
        <v>408</v>
      </c>
      <c r="E354" t="s">
        <v>411</v>
      </c>
      <c r="F354">
        <v>2999</v>
      </c>
      <c r="G354">
        <v>30</v>
      </c>
    </row>
    <row r="355" spans="1:7">
      <c r="A355">
        <f>_xlfn.XLOOKUP(B355,[1]Brand!$A$2:$A$88,[1]Brand!$B$2:$B$88)</f>
        <v>8</v>
      </c>
      <c r="B355">
        <v>43</v>
      </c>
      <c r="C355" t="s">
        <v>407</v>
      </c>
      <c r="D355" t="s">
        <v>408</v>
      </c>
      <c r="E355" t="s">
        <v>412</v>
      </c>
      <c r="F355">
        <v>1499</v>
      </c>
      <c r="G355">
        <v>40</v>
      </c>
    </row>
    <row r="356" spans="1:7">
      <c r="A356">
        <f>_xlfn.XLOOKUP(B356,[1]Brand!$A$2:$A$88,[1]Brand!$B$2:$B$88)</f>
        <v>8</v>
      </c>
      <c r="B356">
        <v>43</v>
      </c>
      <c r="C356" t="s">
        <v>407</v>
      </c>
      <c r="D356" t="s">
        <v>408</v>
      </c>
      <c r="E356" t="s">
        <v>413</v>
      </c>
      <c r="F356">
        <v>2199</v>
      </c>
      <c r="G356">
        <v>25</v>
      </c>
    </row>
    <row r="357" spans="1:7">
      <c r="A357">
        <f>_xlfn.XLOOKUP(B357,[1]Brand!$A$2:$A$88,[1]Brand!$B$2:$B$88)</f>
        <v>8</v>
      </c>
      <c r="B357">
        <v>44</v>
      </c>
      <c r="C357" t="s">
        <v>407</v>
      </c>
      <c r="D357" t="s">
        <v>414</v>
      </c>
      <c r="E357" t="s">
        <v>415</v>
      </c>
      <c r="F357">
        <v>3499</v>
      </c>
      <c r="G357">
        <v>25</v>
      </c>
    </row>
    <row r="358" spans="1:7">
      <c r="A358">
        <f>_xlfn.XLOOKUP(B358,[1]Brand!$A$2:$A$88,[1]Brand!$B$2:$B$88)</f>
        <v>8</v>
      </c>
      <c r="B358">
        <v>44</v>
      </c>
      <c r="C358" t="s">
        <v>407</v>
      </c>
      <c r="D358" t="s">
        <v>414</v>
      </c>
      <c r="E358" t="s">
        <v>416</v>
      </c>
      <c r="F358">
        <v>3799</v>
      </c>
      <c r="G358">
        <v>20</v>
      </c>
    </row>
    <row r="359" spans="1:7">
      <c r="A359">
        <f>_xlfn.XLOOKUP(B359,[1]Brand!$A$2:$A$88,[1]Brand!$B$2:$B$88)</f>
        <v>8</v>
      </c>
      <c r="B359">
        <v>44</v>
      </c>
      <c r="C359" t="s">
        <v>407</v>
      </c>
      <c r="D359" t="s">
        <v>414</v>
      </c>
      <c r="E359" t="s">
        <v>417</v>
      </c>
      <c r="F359">
        <v>4299</v>
      </c>
      <c r="G359">
        <v>15</v>
      </c>
    </row>
    <row r="360" spans="1:7">
      <c r="A360">
        <f>_xlfn.XLOOKUP(B360,[1]Brand!$A$2:$A$88,[1]Brand!$B$2:$B$88)</f>
        <v>8</v>
      </c>
      <c r="B360">
        <v>44</v>
      </c>
      <c r="C360" t="s">
        <v>407</v>
      </c>
      <c r="D360" t="s">
        <v>414</v>
      </c>
      <c r="E360" t="s">
        <v>418</v>
      </c>
      <c r="F360">
        <v>6999</v>
      </c>
      <c r="G360">
        <v>10</v>
      </c>
    </row>
    <row r="361" spans="1:7">
      <c r="A361">
        <f>_xlfn.XLOOKUP(B361,[1]Brand!$A$2:$A$88,[1]Brand!$B$2:$B$88)</f>
        <v>8</v>
      </c>
      <c r="B361">
        <v>44</v>
      </c>
      <c r="C361" t="s">
        <v>407</v>
      </c>
      <c r="D361" t="s">
        <v>414</v>
      </c>
      <c r="E361" t="s">
        <v>419</v>
      </c>
      <c r="F361">
        <v>7499</v>
      </c>
      <c r="G361">
        <v>12</v>
      </c>
    </row>
    <row r="362" spans="1:7">
      <c r="A362">
        <f>_xlfn.XLOOKUP(B362,[1]Brand!$A$2:$A$88,[1]Brand!$B$2:$B$88)</f>
        <v>8</v>
      </c>
      <c r="B362">
        <v>45</v>
      </c>
      <c r="C362" t="s">
        <v>420</v>
      </c>
      <c r="D362" t="s">
        <v>421</v>
      </c>
      <c r="E362" t="s">
        <v>422</v>
      </c>
      <c r="F362">
        <v>599</v>
      </c>
      <c r="G362">
        <v>40</v>
      </c>
    </row>
    <row r="363" spans="1:7">
      <c r="A363">
        <f>_xlfn.XLOOKUP(B363,[1]Brand!$A$2:$A$88,[1]Brand!$B$2:$B$88)</f>
        <v>8</v>
      </c>
      <c r="B363">
        <v>45</v>
      </c>
      <c r="C363" t="s">
        <v>420</v>
      </c>
      <c r="D363" t="s">
        <v>421</v>
      </c>
      <c r="E363" t="s">
        <v>423</v>
      </c>
      <c r="F363">
        <v>1299</v>
      </c>
      <c r="G363">
        <v>25</v>
      </c>
    </row>
    <row r="364" spans="1:7">
      <c r="A364">
        <f>_xlfn.XLOOKUP(B364,[1]Brand!$A$2:$A$88,[1]Brand!$B$2:$B$88)</f>
        <v>8</v>
      </c>
      <c r="B364">
        <v>45</v>
      </c>
      <c r="C364" t="s">
        <v>420</v>
      </c>
      <c r="D364" t="s">
        <v>421</v>
      </c>
      <c r="E364" t="s">
        <v>424</v>
      </c>
      <c r="F364">
        <v>799</v>
      </c>
      <c r="G364">
        <v>30</v>
      </c>
    </row>
    <row r="365" spans="1:7">
      <c r="A365">
        <f>_xlfn.XLOOKUP(B365,[1]Brand!$A$2:$A$88,[1]Brand!$B$2:$B$88)</f>
        <v>8</v>
      </c>
      <c r="B365">
        <v>45</v>
      </c>
      <c r="C365" t="s">
        <v>397</v>
      </c>
      <c r="D365" t="s">
        <v>421</v>
      </c>
      <c r="E365" t="s">
        <v>425</v>
      </c>
      <c r="F365">
        <v>7999</v>
      </c>
      <c r="G365">
        <v>15</v>
      </c>
    </row>
    <row r="366" spans="1:7">
      <c r="A366">
        <f>_xlfn.XLOOKUP(B366,[1]Brand!$A$2:$A$88,[1]Brand!$B$2:$B$88)</f>
        <v>8</v>
      </c>
      <c r="B366">
        <v>45</v>
      </c>
      <c r="C366" t="s">
        <v>420</v>
      </c>
      <c r="D366" t="s">
        <v>421</v>
      </c>
      <c r="E366" t="s">
        <v>426</v>
      </c>
      <c r="F366">
        <v>1499</v>
      </c>
      <c r="G366">
        <v>20</v>
      </c>
    </row>
    <row r="367" spans="1:7">
      <c r="A367">
        <f>_xlfn.XLOOKUP(B367,[1]Brand!$A$2:$A$88,[1]Brand!$B$2:$B$88)</f>
        <v>8</v>
      </c>
      <c r="B367">
        <v>46</v>
      </c>
      <c r="C367" t="s">
        <v>427</v>
      </c>
      <c r="D367" t="s">
        <v>428</v>
      </c>
      <c r="E367" t="s">
        <v>429</v>
      </c>
      <c r="F367">
        <v>199</v>
      </c>
    </row>
    <row r="368" spans="1:7">
      <c r="A368">
        <f>_xlfn.XLOOKUP(B368,[1]Brand!$A$2:$A$88,[1]Brand!$B$2:$B$88)</f>
        <v>8</v>
      </c>
      <c r="B368">
        <v>46</v>
      </c>
      <c r="C368" t="s">
        <v>420</v>
      </c>
      <c r="D368" t="s">
        <v>428</v>
      </c>
      <c r="E368" t="s">
        <v>430</v>
      </c>
      <c r="F368">
        <v>1299</v>
      </c>
      <c r="G368">
        <v>30</v>
      </c>
    </row>
    <row r="369" spans="1:7">
      <c r="A369">
        <f>_xlfn.XLOOKUP(B369,[1]Brand!$A$2:$A$88,[1]Brand!$B$2:$B$88)</f>
        <v>8</v>
      </c>
      <c r="B369">
        <v>46</v>
      </c>
      <c r="C369" t="s">
        <v>420</v>
      </c>
      <c r="D369" t="s">
        <v>428</v>
      </c>
      <c r="E369" t="s">
        <v>431</v>
      </c>
      <c r="F369">
        <v>499</v>
      </c>
      <c r="G369">
        <v>40</v>
      </c>
    </row>
    <row r="370" spans="1:7">
      <c r="A370">
        <f>_xlfn.XLOOKUP(B370,[1]Brand!$A$2:$A$88,[1]Brand!$B$2:$B$88)</f>
        <v>8</v>
      </c>
      <c r="B370">
        <v>46</v>
      </c>
      <c r="C370" t="s">
        <v>420</v>
      </c>
      <c r="D370" t="s">
        <v>428</v>
      </c>
      <c r="E370" t="s">
        <v>432</v>
      </c>
      <c r="F370">
        <v>2999</v>
      </c>
      <c r="G370">
        <v>20</v>
      </c>
    </row>
    <row r="371" spans="1:7">
      <c r="A371">
        <f>_xlfn.XLOOKUP(B371,[1]Brand!$A$2:$A$88,[1]Brand!$B$2:$B$88)</f>
        <v>8</v>
      </c>
      <c r="B371">
        <v>46</v>
      </c>
      <c r="C371" t="s">
        <v>420</v>
      </c>
      <c r="D371" t="s">
        <v>428</v>
      </c>
      <c r="E371" t="s">
        <v>433</v>
      </c>
      <c r="F371">
        <v>3499</v>
      </c>
      <c r="G371">
        <v>15</v>
      </c>
    </row>
    <row r="372" spans="1:7">
      <c r="A372">
        <f>_xlfn.XLOOKUP(B372,[1]Brand!$A$2:$A$88,[1]Brand!$B$2:$B$88)</f>
        <v>8</v>
      </c>
      <c r="B372">
        <v>47</v>
      </c>
      <c r="C372" t="s">
        <v>420</v>
      </c>
      <c r="D372" t="s">
        <v>434</v>
      </c>
      <c r="E372" t="s">
        <v>435</v>
      </c>
      <c r="F372">
        <v>599</v>
      </c>
      <c r="G372">
        <v>35</v>
      </c>
    </row>
    <row r="373" spans="1:7">
      <c r="A373">
        <f>_xlfn.XLOOKUP(B373,[1]Brand!$A$2:$A$88,[1]Brand!$B$2:$B$88)</f>
        <v>8</v>
      </c>
      <c r="B373">
        <v>47</v>
      </c>
      <c r="C373" t="s">
        <v>420</v>
      </c>
      <c r="D373" t="s">
        <v>434</v>
      </c>
      <c r="E373" t="s">
        <v>436</v>
      </c>
      <c r="F373">
        <v>799</v>
      </c>
      <c r="G373">
        <v>25</v>
      </c>
    </row>
    <row r="374" spans="1:7">
      <c r="A374">
        <f>_xlfn.XLOOKUP(B374,[1]Brand!$A$2:$A$88,[1]Brand!$B$2:$B$88)</f>
        <v>8</v>
      </c>
      <c r="B374">
        <v>47</v>
      </c>
      <c r="C374" t="s">
        <v>420</v>
      </c>
      <c r="D374" t="s">
        <v>434</v>
      </c>
      <c r="E374" t="s">
        <v>437</v>
      </c>
      <c r="F374">
        <v>1299</v>
      </c>
      <c r="G374">
        <v>20</v>
      </c>
    </row>
    <row r="375" spans="1:7">
      <c r="A375">
        <f>_xlfn.XLOOKUP(B375,[1]Brand!$A$2:$A$88,[1]Brand!$B$2:$B$88)</f>
        <v>8</v>
      </c>
      <c r="B375">
        <v>47</v>
      </c>
      <c r="C375" t="s">
        <v>420</v>
      </c>
      <c r="D375" t="s">
        <v>434</v>
      </c>
      <c r="E375" t="s">
        <v>438</v>
      </c>
      <c r="F375">
        <v>999</v>
      </c>
      <c r="G375">
        <v>30</v>
      </c>
    </row>
    <row r="376" spans="1:7">
      <c r="A376">
        <f>_xlfn.XLOOKUP(B376,[1]Brand!$A$2:$A$88,[1]Brand!$B$2:$B$88)</f>
        <v>8</v>
      </c>
      <c r="B376">
        <v>47</v>
      </c>
      <c r="C376" t="s">
        <v>420</v>
      </c>
      <c r="D376" t="s">
        <v>434</v>
      </c>
      <c r="E376" t="s">
        <v>439</v>
      </c>
      <c r="F376">
        <v>1499</v>
      </c>
      <c r="G376">
        <v>15</v>
      </c>
    </row>
    <row r="377" spans="1:7">
      <c r="A377">
        <f>_xlfn.XLOOKUP(B377,[1]Brand!$A$2:$A$88,[1]Brand!$B$2:$B$88)</f>
        <v>9</v>
      </c>
      <c r="B377">
        <v>51</v>
      </c>
      <c r="C377" t="s">
        <v>440</v>
      </c>
      <c r="D377" t="s">
        <v>441</v>
      </c>
      <c r="E377" t="s">
        <v>442</v>
      </c>
      <c r="F377">
        <v>299</v>
      </c>
      <c r="G377">
        <v>50</v>
      </c>
    </row>
    <row r="378" spans="1:7">
      <c r="A378">
        <f>_xlfn.XLOOKUP(B378,[1]Brand!$A$2:$A$88,[1]Brand!$B$2:$B$88)</f>
        <v>9</v>
      </c>
      <c r="B378">
        <v>51</v>
      </c>
      <c r="C378" t="s">
        <v>440</v>
      </c>
      <c r="D378" t="s">
        <v>441</v>
      </c>
      <c r="E378" t="s">
        <v>443</v>
      </c>
      <c r="F378">
        <v>499</v>
      </c>
      <c r="G378">
        <v>40</v>
      </c>
    </row>
    <row r="379" spans="1:7">
      <c r="A379">
        <f>_xlfn.XLOOKUP(B379,[1]Brand!$A$2:$A$88,[1]Brand!$B$2:$B$88)</f>
        <v>9</v>
      </c>
      <c r="B379">
        <v>51</v>
      </c>
      <c r="C379" t="s">
        <v>440</v>
      </c>
      <c r="D379" t="s">
        <v>441</v>
      </c>
      <c r="E379" t="s">
        <v>444</v>
      </c>
      <c r="F379">
        <v>1299</v>
      </c>
      <c r="G379">
        <v>30</v>
      </c>
    </row>
    <row r="380" spans="1:7">
      <c r="A380">
        <f>_xlfn.XLOOKUP(B380,[1]Brand!$A$2:$A$88,[1]Brand!$B$2:$B$88)</f>
        <v>9</v>
      </c>
      <c r="B380">
        <v>51</v>
      </c>
      <c r="C380" t="s">
        <v>440</v>
      </c>
      <c r="D380" t="s">
        <v>441</v>
      </c>
      <c r="E380" t="s">
        <v>445</v>
      </c>
      <c r="F380">
        <v>399</v>
      </c>
      <c r="G380">
        <v>35</v>
      </c>
    </row>
    <row r="381" spans="1:7">
      <c r="A381">
        <f>_xlfn.XLOOKUP(B381,[1]Brand!$A$2:$A$88,[1]Brand!$B$2:$B$88)</f>
        <v>9</v>
      </c>
      <c r="B381">
        <v>51</v>
      </c>
      <c r="C381" t="s">
        <v>440</v>
      </c>
      <c r="D381" t="s">
        <v>441</v>
      </c>
      <c r="E381" t="s">
        <v>446</v>
      </c>
      <c r="F381">
        <v>999</v>
      </c>
      <c r="G381">
        <v>25</v>
      </c>
    </row>
    <row r="382" spans="1:7">
      <c r="A382">
        <f>_xlfn.XLOOKUP(B382,[1]Brand!$A$2:$A$88,[1]Brand!$B$2:$B$88)</f>
        <v>9</v>
      </c>
      <c r="B382">
        <v>49</v>
      </c>
      <c r="C382" t="s">
        <v>440</v>
      </c>
      <c r="D382" t="s">
        <v>447</v>
      </c>
      <c r="E382" t="s">
        <v>448</v>
      </c>
      <c r="F382">
        <v>2499</v>
      </c>
      <c r="G382">
        <v>20</v>
      </c>
    </row>
    <row r="383" spans="1:7">
      <c r="A383">
        <f>_xlfn.XLOOKUP(B383,[1]Brand!$A$2:$A$88,[1]Brand!$B$2:$B$88)</f>
        <v>9</v>
      </c>
      <c r="B383">
        <v>49</v>
      </c>
      <c r="C383" t="s">
        <v>440</v>
      </c>
      <c r="D383" t="s">
        <v>447</v>
      </c>
      <c r="E383" t="s">
        <v>449</v>
      </c>
      <c r="F383">
        <v>1799</v>
      </c>
      <c r="G383">
        <v>25</v>
      </c>
    </row>
    <row r="384" spans="1:7">
      <c r="A384">
        <f>_xlfn.XLOOKUP(B384,[1]Brand!$A$2:$A$88,[1]Brand!$B$2:$B$88)</f>
        <v>9</v>
      </c>
      <c r="B384">
        <v>49</v>
      </c>
      <c r="C384" t="s">
        <v>440</v>
      </c>
      <c r="D384" t="s">
        <v>447</v>
      </c>
      <c r="E384" t="s">
        <v>450</v>
      </c>
      <c r="F384">
        <v>1999</v>
      </c>
      <c r="G384">
        <v>30</v>
      </c>
    </row>
    <row r="385" spans="1:7">
      <c r="A385">
        <f>_xlfn.XLOOKUP(B385,[1]Brand!$A$2:$A$88,[1]Brand!$B$2:$B$88)</f>
        <v>9</v>
      </c>
      <c r="B385">
        <v>49</v>
      </c>
      <c r="C385" t="s">
        <v>440</v>
      </c>
      <c r="D385" t="s">
        <v>447</v>
      </c>
      <c r="E385" t="s">
        <v>451</v>
      </c>
      <c r="F385">
        <v>499</v>
      </c>
      <c r="G385">
        <v>40</v>
      </c>
    </row>
    <row r="386" spans="1:7">
      <c r="A386">
        <f>_xlfn.XLOOKUP(B386,[1]Brand!$A$2:$A$88,[1]Brand!$B$2:$B$88)</f>
        <v>9</v>
      </c>
      <c r="B386">
        <v>49</v>
      </c>
      <c r="C386" t="s">
        <v>440</v>
      </c>
      <c r="D386" t="s">
        <v>447</v>
      </c>
      <c r="E386" t="s">
        <v>452</v>
      </c>
      <c r="F386">
        <v>1299</v>
      </c>
      <c r="G386">
        <v>35</v>
      </c>
    </row>
    <row r="387" spans="1:7">
      <c r="A387">
        <f>_xlfn.XLOOKUP(B387,[1]Brand!$A$2:$A$88,[1]Brand!$B$2:$B$88)</f>
        <v>9</v>
      </c>
      <c r="B387">
        <v>49</v>
      </c>
      <c r="C387" t="s">
        <v>440</v>
      </c>
      <c r="D387" t="s">
        <v>447</v>
      </c>
      <c r="E387" t="s">
        <v>453</v>
      </c>
      <c r="F387">
        <v>2199</v>
      </c>
      <c r="G387">
        <v>20</v>
      </c>
    </row>
    <row r="388" spans="1:7">
      <c r="A388">
        <f>_xlfn.XLOOKUP(B388,[1]Brand!$A$2:$A$88,[1]Brand!$B$2:$B$88)</f>
        <v>9</v>
      </c>
      <c r="B388">
        <v>49</v>
      </c>
      <c r="C388" t="s">
        <v>440</v>
      </c>
      <c r="D388" t="s">
        <v>447</v>
      </c>
      <c r="E388" t="s">
        <v>454</v>
      </c>
      <c r="F388">
        <v>1299</v>
      </c>
      <c r="G388">
        <v>30</v>
      </c>
    </row>
    <row r="389" spans="1:7">
      <c r="A389">
        <f>_xlfn.XLOOKUP(B389,[1]Brand!$A$2:$A$88,[1]Brand!$B$2:$B$88)</f>
        <v>9</v>
      </c>
      <c r="B389">
        <v>49</v>
      </c>
      <c r="C389" t="s">
        <v>440</v>
      </c>
      <c r="D389" t="s">
        <v>447</v>
      </c>
      <c r="E389" t="s">
        <v>455</v>
      </c>
      <c r="F389">
        <v>899</v>
      </c>
    </row>
    <row r="390" spans="1:7">
      <c r="A390">
        <f>_xlfn.XLOOKUP(B390,[1]Brand!$A$2:$A$88,[1]Brand!$B$2:$B$88)</f>
        <v>9</v>
      </c>
      <c r="B390">
        <v>49</v>
      </c>
      <c r="C390" t="s">
        <v>440</v>
      </c>
      <c r="D390" t="s">
        <v>447</v>
      </c>
      <c r="E390" t="s">
        <v>456</v>
      </c>
      <c r="F390">
        <v>1999</v>
      </c>
      <c r="G390">
        <v>25</v>
      </c>
    </row>
    <row r="391" spans="1:7">
      <c r="A391">
        <f>_xlfn.XLOOKUP(B391,[1]Brand!$A$2:$A$88,[1]Brand!$B$2:$B$88)</f>
        <v>9</v>
      </c>
      <c r="B391">
        <v>49</v>
      </c>
      <c r="C391" t="s">
        <v>440</v>
      </c>
      <c r="D391" t="s">
        <v>447</v>
      </c>
      <c r="E391" t="s">
        <v>457</v>
      </c>
      <c r="F391">
        <v>1499</v>
      </c>
      <c r="G391">
        <v>35</v>
      </c>
    </row>
    <row r="392" spans="1:7">
      <c r="A392">
        <f>_xlfn.XLOOKUP(B392,[1]Brand!$A$2:$A$88,[1]Brand!$B$2:$B$88)</f>
        <v>9</v>
      </c>
      <c r="B392">
        <v>48</v>
      </c>
      <c r="C392" t="s">
        <v>440</v>
      </c>
      <c r="D392" t="s">
        <v>458</v>
      </c>
      <c r="E392" t="s">
        <v>459</v>
      </c>
      <c r="F392">
        <v>1799</v>
      </c>
      <c r="G392">
        <v>25</v>
      </c>
    </row>
    <row r="393" spans="1:7">
      <c r="A393">
        <f>_xlfn.XLOOKUP(B393,[1]Brand!$A$2:$A$88,[1]Brand!$B$2:$B$88)</f>
        <v>9</v>
      </c>
      <c r="B393">
        <v>48</v>
      </c>
      <c r="C393" t="s">
        <v>440</v>
      </c>
      <c r="D393" t="s">
        <v>458</v>
      </c>
      <c r="E393" t="s">
        <v>460</v>
      </c>
      <c r="F393">
        <v>2299</v>
      </c>
      <c r="G393">
        <v>20</v>
      </c>
    </row>
    <row r="394" spans="1:7">
      <c r="A394">
        <f>_xlfn.XLOOKUP(B394,[1]Brand!$A$2:$A$88,[1]Brand!$B$2:$B$88)</f>
        <v>9</v>
      </c>
      <c r="B394">
        <v>48</v>
      </c>
      <c r="C394" t="s">
        <v>440</v>
      </c>
      <c r="D394" t="s">
        <v>458</v>
      </c>
      <c r="E394" t="s">
        <v>461</v>
      </c>
      <c r="F394">
        <v>499</v>
      </c>
      <c r="G394">
        <v>40</v>
      </c>
    </row>
    <row r="395" spans="1:7">
      <c r="A395">
        <f>_xlfn.XLOOKUP(B395,[1]Brand!$A$2:$A$88,[1]Brand!$B$2:$B$88)</f>
        <v>9</v>
      </c>
      <c r="B395">
        <v>48</v>
      </c>
      <c r="C395" t="s">
        <v>440</v>
      </c>
      <c r="D395" t="s">
        <v>458</v>
      </c>
      <c r="E395" t="s">
        <v>462</v>
      </c>
      <c r="F395">
        <v>1199</v>
      </c>
      <c r="G395">
        <v>30</v>
      </c>
    </row>
    <row r="396" spans="1:7">
      <c r="A396">
        <f>_xlfn.XLOOKUP(B396,[1]Brand!$A$2:$A$88,[1]Brand!$B$2:$B$88)</f>
        <v>9</v>
      </c>
      <c r="B396">
        <v>48</v>
      </c>
      <c r="C396" t="s">
        <v>440</v>
      </c>
      <c r="D396" t="s">
        <v>458</v>
      </c>
      <c r="E396" t="s">
        <v>463</v>
      </c>
      <c r="F396">
        <v>1299</v>
      </c>
      <c r="G396">
        <v>35</v>
      </c>
    </row>
    <row r="397" spans="1:7">
      <c r="A397">
        <f>_xlfn.XLOOKUP(B397,[1]Brand!$A$2:$A$88,[1]Brand!$B$2:$B$88)</f>
        <v>9</v>
      </c>
      <c r="B397">
        <v>48</v>
      </c>
      <c r="C397" t="s">
        <v>440</v>
      </c>
      <c r="D397" t="s">
        <v>458</v>
      </c>
      <c r="E397" t="s">
        <v>464</v>
      </c>
      <c r="F397">
        <v>2499</v>
      </c>
      <c r="G397">
        <v>20</v>
      </c>
    </row>
    <row r="398" spans="1:7">
      <c r="A398">
        <f>_xlfn.XLOOKUP(B398,[1]Brand!$A$2:$A$88,[1]Brand!$B$2:$B$88)</f>
        <v>9</v>
      </c>
      <c r="B398">
        <v>48</v>
      </c>
      <c r="C398" t="s">
        <v>440</v>
      </c>
      <c r="D398" t="s">
        <v>458</v>
      </c>
      <c r="E398" t="s">
        <v>465</v>
      </c>
      <c r="F398">
        <v>1299</v>
      </c>
      <c r="G398">
        <v>30</v>
      </c>
    </row>
    <row r="399" spans="1:7">
      <c r="A399">
        <f>_xlfn.XLOOKUP(B399,[1]Brand!$A$2:$A$88,[1]Brand!$B$2:$B$88)</f>
        <v>9</v>
      </c>
      <c r="B399">
        <v>48</v>
      </c>
      <c r="C399" t="s">
        <v>440</v>
      </c>
      <c r="D399" t="s">
        <v>458</v>
      </c>
      <c r="E399" t="s">
        <v>466</v>
      </c>
      <c r="F399">
        <v>999</v>
      </c>
      <c r="G399">
        <v>50</v>
      </c>
    </row>
    <row r="400" spans="1:7">
      <c r="A400">
        <f>_xlfn.XLOOKUP(B400,[1]Brand!$A$2:$A$88,[1]Brand!$B$2:$B$88)</f>
        <v>9</v>
      </c>
      <c r="B400">
        <v>48</v>
      </c>
      <c r="C400" t="s">
        <v>440</v>
      </c>
      <c r="D400" t="s">
        <v>458</v>
      </c>
      <c r="E400" t="s">
        <v>467</v>
      </c>
      <c r="F400">
        <v>1999</v>
      </c>
      <c r="G400">
        <v>25</v>
      </c>
    </row>
    <row r="401" spans="1:7">
      <c r="A401">
        <f>_xlfn.XLOOKUP(B401,[1]Brand!$A$2:$A$88,[1]Brand!$B$2:$B$88)</f>
        <v>9</v>
      </c>
      <c r="B401">
        <v>48</v>
      </c>
      <c r="C401" t="s">
        <v>440</v>
      </c>
      <c r="D401" t="s">
        <v>458</v>
      </c>
      <c r="E401" t="s">
        <v>468</v>
      </c>
      <c r="F401">
        <v>1499</v>
      </c>
      <c r="G401">
        <v>35</v>
      </c>
    </row>
    <row r="402" spans="1:7">
      <c r="A402">
        <f>_xlfn.XLOOKUP(B402,[1]Brand!$A$2:$A$88,[1]Brand!$B$2:$B$88)</f>
        <v>12</v>
      </c>
      <c r="B402">
        <v>66</v>
      </c>
      <c r="C402" t="s">
        <v>469</v>
      </c>
      <c r="D402" t="s">
        <v>470</v>
      </c>
      <c r="E402" t="s">
        <v>471</v>
      </c>
      <c r="F402">
        <v>299</v>
      </c>
      <c r="G402">
        <v>50</v>
      </c>
    </row>
    <row r="403" spans="1:7">
      <c r="A403">
        <f>_xlfn.XLOOKUP(B403,[1]Brand!$A$2:$A$88,[1]Brand!$B$2:$B$88)</f>
        <v>12</v>
      </c>
      <c r="B403">
        <v>66</v>
      </c>
      <c r="C403" t="s">
        <v>469</v>
      </c>
      <c r="D403" t="s">
        <v>470</v>
      </c>
      <c r="E403" t="s">
        <v>472</v>
      </c>
      <c r="F403">
        <v>399</v>
      </c>
      <c r="G403">
        <v>30</v>
      </c>
    </row>
    <row r="404" spans="1:7">
      <c r="A404">
        <f>_xlfn.XLOOKUP(B404,[1]Brand!$A$2:$A$88,[1]Brand!$B$2:$B$88)</f>
        <v>12</v>
      </c>
      <c r="B404">
        <v>66</v>
      </c>
      <c r="C404" t="s">
        <v>469</v>
      </c>
      <c r="D404" t="s">
        <v>470</v>
      </c>
      <c r="E404" t="s">
        <v>473</v>
      </c>
      <c r="F404">
        <v>499</v>
      </c>
      <c r="G404">
        <v>20</v>
      </c>
    </row>
    <row r="405" spans="1:7">
      <c r="A405">
        <f>_xlfn.XLOOKUP(B405,[1]Brand!$A$2:$A$88,[1]Brand!$B$2:$B$88)</f>
        <v>12</v>
      </c>
      <c r="B405">
        <v>67</v>
      </c>
      <c r="C405" t="s">
        <v>469</v>
      </c>
      <c r="D405" t="s">
        <v>474</v>
      </c>
      <c r="E405" t="s">
        <v>475</v>
      </c>
      <c r="F405">
        <v>176.33</v>
      </c>
      <c r="G405">
        <v>3</v>
      </c>
    </row>
    <row r="406" spans="1:7">
      <c r="A406">
        <f>_xlfn.XLOOKUP(B406,[1]Brand!$A$2:$A$88,[1]Brand!$B$2:$B$88)</f>
        <v>12</v>
      </c>
      <c r="B406">
        <v>67</v>
      </c>
      <c r="C406" t="s">
        <v>469</v>
      </c>
      <c r="D406" t="s">
        <v>474</v>
      </c>
      <c r="E406" t="s">
        <v>476</v>
      </c>
      <c r="F406">
        <v>150</v>
      </c>
      <c r="G406">
        <v>5</v>
      </c>
    </row>
    <row r="407" spans="1:7">
      <c r="A407">
        <f>_xlfn.XLOOKUP(B407,[1]Brand!$A$2:$A$88,[1]Brand!$B$2:$B$88)</f>
        <v>12</v>
      </c>
      <c r="B407">
        <v>67</v>
      </c>
      <c r="C407" t="s">
        <v>469</v>
      </c>
      <c r="D407" t="s">
        <v>474</v>
      </c>
      <c r="E407" t="s">
        <v>477</v>
      </c>
      <c r="F407">
        <v>200</v>
      </c>
      <c r="G407">
        <v>2</v>
      </c>
    </row>
    <row r="408" spans="1:7">
      <c r="A408">
        <f>_xlfn.XLOOKUP(B408,[1]Brand!$A$2:$A$88,[1]Brand!$B$2:$B$88)</f>
        <v>12</v>
      </c>
      <c r="B408">
        <v>67</v>
      </c>
      <c r="C408" t="s">
        <v>469</v>
      </c>
      <c r="D408" t="s">
        <v>474</v>
      </c>
      <c r="E408" t="s">
        <v>478</v>
      </c>
      <c r="F408">
        <v>180</v>
      </c>
      <c r="G408">
        <v>4</v>
      </c>
    </row>
    <row r="409" spans="1:7">
      <c r="A409">
        <f>_xlfn.XLOOKUP(B409,[1]Brand!$A$2:$A$88,[1]Brand!$B$2:$B$88)</f>
        <v>13</v>
      </c>
      <c r="B409">
        <v>68</v>
      </c>
      <c r="C409" t="s">
        <v>479</v>
      </c>
      <c r="D409" t="s">
        <v>480</v>
      </c>
      <c r="E409" t="s">
        <v>481</v>
      </c>
      <c r="F409">
        <v>499</v>
      </c>
      <c r="G409">
        <v>10</v>
      </c>
    </row>
    <row r="410" spans="1:7">
      <c r="A410">
        <f>_xlfn.XLOOKUP(B410,[1]Brand!$A$2:$A$88,[1]Brand!$B$2:$B$88)</f>
        <v>13</v>
      </c>
      <c r="B410">
        <v>68</v>
      </c>
      <c r="C410" t="s">
        <v>479</v>
      </c>
      <c r="D410" t="s">
        <v>480</v>
      </c>
      <c r="E410" t="s">
        <v>482</v>
      </c>
      <c r="F410">
        <v>799</v>
      </c>
      <c r="G410">
        <v>5</v>
      </c>
    </row>
    <row r="411" spans="1:7">
      <c r="A411">
        <f>_xlfn.XLOOKUP(B411,[1]Brand!$A$2:$A$88,[1]Brand!$B$2:$B$88)</f>
        <v>13</v>
      </c>
      <c r="B411">
        <v>68</v>
      </c>
      <c r="C411" t="s">
        <v>479</v>
      </c>
      <c r="D411" t="s">
        <v>480</v>
      </c>
      <c r="E411" t="s">
        <v>483</v>
      </c>
      <c r="F411">
        <v>699</v>
      </c>
      <c r="G411">
        <v>8</v>
      </c>
    </row>
    <row r="412" spans="1:7">
      <c r="A412">
        <f>_xlfn.XLOOKUP(B412,[1]Brand!$A$2:$A$88,[1]Brand!$B$2:$B$88)</f>
        <v>13</v>
      </c>
      <c r="B412">
        <v>68</v>
      </c>
      <c r="C412" t="s">
        <v>479</v>
      </c>
      <c r="D412" t="s">
        <v>480</v>
      </c>
      <c r="E412" t="s">
        <v>484</v>
      </c>
      <c r="F412">
        <v>599</v>
      </c>
      <c r="G412">
        <v>7</v>
      </c>
    </row>
    <row r="413" spans="1:7">
      <c r="A413">
        <f>_xlfn.XLOOKUP(B413,[1]Brand!$A$2:$A$88,[1]Brand!$B$2:$B$88)</f>
        <v>13</v>
      </c>
      <c r="B413">
        <v>69</v>
      </c>
      <c r="C413" t="s">
        <v>479</v>
      </c>
      <c r="D413" t="s">
        <v>485</v>
      </c>
      <c r="E413" t="s">
        <v>486</v>
      </c>
      <c r="F413">
        <v>450</v>
      </c>
      <c r="G413">
        <v>12</v>
      </c>
    </row>
    <row r="414" spans="1:7">
      <c r="A414">
        <f>_xlfn.XLOOKUP(B414,[1]Brand!$A$2:$A$88,[1]Brand!$B$2:$B$88)</f>
        <v>13</v>
      </c>
      <c r="B414">
        <v>69</v>
      </c>
      <c r="C414" t="s">
        <v>479</v>
      </c>
      <c r="D414" t="s">
        <v>485</v>
      </c>
      <c r="E414" t="s">
        <v>487</v>
      </c>
      <c r="F414">
        <v>950</v>
      </c>
      <c r="G414">
        <v>6</v>
      </c>
    </row>
    <row r="415" spans="1:7">
      <c r="A415">
        <f>_xlfn.XLOOKUP(B415,[1]Brand!$A$2:$A$88,[1]Brand!$B$2:$B$88)</f>
        <v>13</v>
      </c>
      <c r="B415">
        <v>69</v>
      </c>
      <c r="C415" t="s">
        <v>479</v>
      </c>
      <c r="D415" t="s">
        <v>485</v>
      </c>
      <c r="E415" t="s">
        <v>488</v>
      </c>
      <c r="F415">
        <v>700</v>
      </c>
      <c r="G415">
        <v>9</v>
      </c>
    </row>
    <row r="416" spans="1:7">
      <c r="A416">
        <f>_xlfn.XLOOKUP(B416,[1]Brand!$A$2:$A$88,[1]Brand!$B$2:$B$88)</f>
        <v>13</v>
      </c>
      <c r="B416">
        <v>69</v>
      </c>
      <c r="C416" t="s">
        <v>479</v>
      </c>
      <c r="D416" t="s">
        <v>485</v>
      </c>
      <c r="E416" t="s">
        <v>489</v>
      </c>
      <c r="F416">
        <v>550</v>
      </c>
      <c r="G416">
        <v>8</v>
      </c>
    </row>
    <row r="417" spans="1:7">
      <c r="A417">
        <f>_xlfn.XLOOKUP(B417,[1]Brand!$A$2:$A$88,[1]Brand!$B$2:$B$88)</f>
        <v>13</v>
      </c>
      <c r="B417">
        <v>70</v>
      </c>
      <c r="C417" t="s">
        <v>479</v>
      </c>
      <c r="D417" t="s">
        <v>490</v>
      </c>
      <c r="E417" t="s">
        <v>491</v>
      </c>
      <c r="F417">
        <v>799</v>
      </c>
      <c r="G417">
        <v>15</v>
      </c>
    </row>
    <row r="418" spans="1:7">
      <c r="A418">
        <f>_xlfn.XLOOKUP(B418,[1]Brand!$A$2:$A$88,[1]Brand!$B$2:$B$88)</f>
        <v>13</v>
      </c>
      <c r="B418">
        <v>70</v>
      </c>
      <c r="C418" t="s">
        <v>479</v>
      </c>
      <c r="D418" t="s">
        <v>490</v>
      </c>
      <c r="E418" t="s">
        <v>492</v>
      </c>
      <c r="F418">
        <v>499</v>
      </c>
      <c r="G418">
        <v>10</v>
      </c>
    </row>
    <row r="419" spans="1:7">
      <c r="A419">
        <f>_xlfn.XLOOKUP(B419,[1]Brand!$A$2:$A$88,[1]Brand!$B$2:$B$88)</f>
        <v>13</v>
      </c>
      <c r="B419">
        <v>70</v>
      </c>
      <c r="C419" t="s">
        <v>479</v>
      </c>
      <c r="D419" t="s">
        <v>490</v>
      </c>
      <c r="E419" t="s">
        <v>493</v>
      </c>
      <c r="F419">
        <v>699</v>
      </c>
      <c r="G419">
        <v>12</v>
      </c>
    </row>
    <row r="420" spans="1:7">
      <c r="A420">
        <f>_xlfn.XLOOKUP(B420,[1]Brand!$A$2:$A$88,[1]Brand!$B$2:$B$88)</f>
        <v>13</v>
      </c>
      <c r="B420">
        <v>70</v>
      </c>
      <c r="C420" t="s">
        <v>479</v>
      </c>
      <c r="D420" t="s">
        <v>490</v>
      </c>
      <c r="E420" t="s">
        <v>494</v>
      </c>
      <c r="F420">
        <v>599</v>
      </c>
      <c r="G420">
        <v>8</v>
      </c>
    </row>
    <row r="421" spans="1:7">
      <c r="A421">
        <f>_xlfn.XLOOKUP(B421,[1]Brand!$A$2:$A$88,[1]Brand!$B$2:$B$88)</f>
        <v>13</v>
      </c>
      <c r="B421">
        <v>71</v>
      </c>
      <c r="C421" t="s">
        <v>479</v>
      </c>
      <c r="D421" t="s">
        <v>495</v>
      </c>
      <c r="E421" t="s">
        <v>496</v>
      </c>
      <c r="F421">
        <v>899</v>
      </c>
      <c r="G421">
        <v>10</v>
      </c>
    </row>
    <row r="422" spans="1:7">
      <c r="A422">
        <f>_xlfn.XLOOKUP(B422,[1]Brand!$A$2:$A$88,[1]Brand!$B$2:$B$88)</f>
        <v>13</v>
      </c>
      <c r="B422">
        <v>71</v>
      </c>
      <c r="C422" t="s">
        <v>479</v>
      </c>
      <c r="D422" t="s">
        <v>495</v>
      </c>
      <c r="E422" t="s">
        <v>497</v>
      </c>
      <c r="F422">
        <v>1099</v>
      </c>
      <c r="G422">
        <v>7</v>
      </c>
    </row>
    <row r="423" spans="1:7">
      <c r="A423">
        <f>_xlfn.XLOOKUP(B423,[1]Brand!$A$2:$A$88,[1]Brand!$B$2:$B$88)</f>
        <v>13</v>
      </c>
      <c r="B423">
        <v>71</v>
      </c>
      <c r="C423" t="s">
        <v>479</v>
      </c>
      <c r="D423" t="s">
        <v>495</v>
      </c>
      <c r="E423" t="s">
        <v>498</v>
      </c>
      <c r="F423">
        <v>799</v>
      </c>
      <c r="G423">
        <v>12</v>
      </c>
    </row>
    <row r="424" spans="1:7">
      <c r="A424">
        <f>_xlfn.XLOOKUP(B424,[1]Brand!$A$2:$A$88,[1]Brand!$B$2:$B$88)</f>
        <v>13</v>
      </c>
      <c r="B424">
        <v>71</v>
      </c>
      <c r="C424" t="s">
        <v>479</v>
      </c>
      <c r="D424" t="s">
        <v>495</v>
      </c>
      <c r="E424" t="s">
        <v>499</v>
      </c>
      <c r="F424">
        <v>599</v>
      </c>
      <c r="G424">
        <v>15</v>
      </c>
    </row>
    <row r="425" spans="1:7">
      <c r="A425">
        <f>_xlfn.XLOOKUP(B425,[1]Brand!$A$2:$A$88,[1]Brand!$B$2:$B$88)</f>
        <v>13</v>
      </c>
      <c r="B425">
        <v>72</v>
      </c>
      <c r="C425" t="s">
        <v>479</v>
      </c>
      <c r="D425" t="s">
        <v>500</v>
      </c>
      <c r="E425" t="s">
        <v>501</v>
      </c>
      <c r="F425">
        <v>799</v>
      </c>
      <c r="G425">
        <v>10</v>
      </c>
    </row>
    <row r="426" spans="1:7">
      <c r="A426">
        <f>_xlfn.XLOOKUP(B426,[1]Brand!$A$2:$A$88,[1]Brand!$B$2:$B$88)</f>
        <v>13</v>
      </c>
      <c r="B426">
        <v>72</v>
      </c>
      <c r="C426" t="s">
        <v>479</v>
      </c>
      <c r="D426" t="s">
        <v>500</v>
      </c>
      <c r="E426" t="s">
        <v>502</v>
      </c>
      <c r="F426">
        <v>999</v>
      </c>
      <c r="G426">
        <v>5</v>
      </c>
    </row>
    <row r="427" spans="1:7">
      <c r="A427">
        <f>_xlfn.XLOOKUP(B427,[1]Brand!$A$2:$A$88,[1]Brand!$B$2:$B$88)</f>
        <v>13</v>
      </c>
      <c r="B427">
        <v>72</v>
      </c>
      <c r="C427" t="s">
        <v>479</v>
      </c>
      <c r="D427" t="s">
        <v>500</v>
      </c>
      <c r="E427" t="s">
        <v>503</v>
      </c>
      <c r="F427">
        <v>899</v>
      </c>
      <c r="G427">
        <v>8</v>
      </c>
    </row>
    <row r="428" spans="1:7">
      <c r="A428">
        <f>_xlfn.XLOOKUP(B428,[1]Brand!$A$2:$A$88,[1]Brand!$B$2:$B$88)</f>
        <v>13</v>
      </c>
      <c r="B428">
        <v>72</v>
      </c>
      <c r="C428" t="s">
        <v>479</v>
      </c>
      <c r="D428" t="s">
        <v>500</v>
      </c>
      <c r="E428" t="s">
        <v>504</v>
      </c>
      <c r="F428">
        <v>699</v>
      </c>
      <c r="G428">
        <v>12</v>
      </c>
    </row>
    <row r="429" spans="1:7">
      <c r="A429">
        <f>_xlfn.XLOOKUP(B429,[1]Brand!$A$2:$A$88,[1]Brand!$B$2:$B$88)</f>
        <v>14</v>
      </c>
      <c r="B429">
        <v>73</v>
      </c>
      <c r="C429" t="s">
        <v>505</v>
      </c>
      <c r="D429" t="s">
        <v>506</v>
      </c>
      <c r="E429" t="s">
        <v>507</v>
      </c>
      <c r="F429">
        <v>1499</v>
      </c>
      <c r="G429">
        <v>8</v>
      </c>
    </row>
    <row r="430" spans="1:7">
      <c r="A430">
        <f>_xlfn.XLOOKUP(B430,[1]Brand!$A$2:$A$88,[1]Brand!$B$2:$B$88)</f>
        <v>14</v>
      </c>
      <c r="B430">
        <v>73</v>
      </c>
      <c r="C430" t="s">
        <v>505</v>
      </c>
      <c r="D430" t="s">
        <v>506</v>
      </c>
      <c r="E430" t="s">
        <v>508</v>
      </c>
      <c r="F430">
        <v>1299</v>
      </c>
      <c r="G430">
        <v>10</v>
      </c>
    </row>
    <row r="431" spans="1:7">
      <c r="A431">
        <f>_xlfn.XLOOKUP(B431,[1]Brand!$A$2:$A$88,[1]Brand!$B$2:$B$88)</f>
        <v>14</v>
      </c>
      <c r="B431">
        <v>73</v>
      </c>
      <c r="C431" t="s">
        <v>505</v>
      </c>
      <c r="D431" t="s">
        <v>506</v>
      </c>
      <c r="E431" t="s">
        <v>509</v>
      </c>
      <c r="F431">
        <v>999</v>
      </c>
      <c r="G431">
        <v>12</v>
      </c>
    </row>
    <row r="432" spans="1:7">
      <c r="A432">
        <f>_xlfn.XLOOKUP(B432,[1]Brand!$A$2:$A$88,[1]Brand!$B$2:$B$88)</f>
        <v>14</v>
      </c>
      <c r="B432">
        <v>73</v>
      </c>
      <c r="C432" t="s">
        <v>505</v>
      </c>
      <c r="D432" t="s">
        <v>506</v>
      </c>
      <c r="E432" t="s">
        <v>510</v>
      </c>
      <c r="F432">
        <v>799</v>
      </c>
      <c r="G432">
        <v>15</v>
      </c>
    </row>
    <row r="433" spans="1:7">
      <c r="A433">
        <f>_xlfn.XLOOKUP(B433,[1]Brand!$A$2:$A$88,[1]Brand!$B$2:$B$88)</f>
        <v>14</v>
      </c>
      <c r="B433">
        <v>74</v>
      </c>
      <c r="C433" t="s">
        <v>505</v>
      </c>
      <c r="D433" t="s">
        <v>511</v>
      </c>
      <c r="E433" t="s">
        <v>512</v>
      </c>
      <c r="F433">
        <v>1399</v>
      </c>
      <c r="G433">
        <v>10</v>
      </c>
    </row>
    <row r="434" spans="1:7">
      <c r="A434">
        <f>_xlfn.XLOOKUP(B434,[1]Brand!$A$2:$A$88,[1]Brand!$B$2:$B$88)</f>
        <v>14</v>
      </c>
      <c r="B434">
        <v>74</v>
      </c>
      <c r="C434" t="s">
        <v>505</v>
      </c>
      <c r="D434" t="s">
        <v>511</v>
      </c>
      <c r="E434" t="s">
        <v>513</v>
      </c>
      <c r="F434">
        <v>1599</v>
      </c>
      <c r="G434">
        <v>7</v>
      </c>
    </row>
    <row r="435" spans="1:7">
      <c r="A435">
        <f>_xlfn.XLOOKUP(B435,[1]Brand!$A$2:$A$88,[1]Brand!$B$2:$B$88)</f>
        <v>14</v>
      </c>
      <c r="B435">
        <v>74</v>
      </c>
      <c r="C435" t="s">
        <v>505</v>
      </c>
      <c r="D435" t="s">
        <v>511</v>
      </c>
      <c r="E435" t="s">
        <v>514</v>
      </c>
      <c r="F435">
        <v>999</v>
      </c>
      <c r="G435">
        <v>12</v>
      </c>
    </row>
    <row r="436" spans="1:7">
      <c r="A436">
        <f>_xlfn.XLOOKUP(B436,[1]Brand!$A$2:$A$88,[1]Brand!$B$2:$B$88)</f>
        <v>14</v>
      </c>
      <c r="B436">
        <v>74</v>
      </c>
      <c r="C436" t="s">
        <v>505</v>
      </c>
      <c r="D436" t="s">
        <v>511</v>
      </c>
      <c r="E436" t="s">
        <v>515</v>
      </c>
      <c r="F436">
        <v>499</v>
      </c>
      <c r="G436">
        <v>15</v>
      </c>
    </row>
    <row r="437" spans="1:7">
      <c r="A437">
        <f>_xlfn.XLOOKUP(B437,[1]Brand!$A$2:$A$88,[1]Brand!$B$2:$B$88)</f>
        <v>14</v>
      </c>
      <c r="B437">
        <v>75</v>
      </c>
      <c r="C437" t="s">
        <v>505</v>
      </c>
      <c r="D437" t="s">
        <v>516</v>
      </c>
      <c r="E437" t="s">
        <v>517</v>
      </c>
      <c r="F437">
        <v>1299</v>
      </c>
      <c r="G437">
        <v>10</v>
      </c>
    </row>
    <row r="438" spans="1:7">
      <c r="A438">
        <f>_xlfn.XLOOKUP(B438,[1]Brand!$A$2:$A$88,[1]Brand!$B$2:$B$88)</f>
        <v>14</v>
      </c>
      <c r="B438">
        <v>75</v>
      </c>
      <c r="C438" t="s">
        <v>505</v>
      </c>
      <c r="D438" t="s">
        <v>516</v>
      </c>
      <c r="E438" t="s">
        <v>518</v>
      </c>
      <c r="F438">
        <v>1499</v>
      </c>
      <c r="G438">
        <v>7</v>
      </c>
    </row>
    <row r="439" spans="1:7">
      <c r="A439">
        <f>_xlfn.XLOOKUP(B439,[1]Brand!$A$2:$A$88,[1]Brand!$B$2:$B$88)</f>
        <v>14</v>
      </c>
      <c r="B439">
        <v>75</v>
      </c>
      <c r="C439" t="s">
        <v>505</v>
      </c>
      <c r="D439" t="s">
        <v>516</v>
      </c>
      <c r="E439" t="s">
        <v>519</v>
      </c>
      <c r="F439">
        <v>999</v>
      </c>
      <c r="G439">
        <v>12</v>
      </c>
    </row>
    <row r="440" spans="1:7">
      <c r="A440">
        <f>_xlfn.XLOOKUP(B440,[1]Brand!$A$2:$A$88,[1]Brand!$B$2:$B$88)</f>
        <v>14</v>
      </c>
      <c r="B440">
        <v>75</v>
      </c>
      <c r="C440" t="s">
        <v>505</v>
      </c>
      <c r="D440" t="s">
        <v>516</v>
      </c>
      <c r="E440" t="s">
        <v>520</v>
      </c>
      <c r="F440">
        <v>599</v>
      </c>
      <c r="G440">
        <v>15</v>
      </c>
    </row>
    <row r="441" spans="1:7">
      <c r="A441">
        <f>_xlfn.XLOOKUP(B441,[1]Brand!$A$2:$A$88,[1]Brand!$B$2:$B$88)</f>
        <v>14</v>
      </c>
      <c r="B441">
        <v>76</v>
      </c>
      <c r="C441" t="s">
        <v>505</v>
      </c>
      <c r="D441" t="s">
        <v>521</v>
      </c>
      <c r="E441" t="s">
        <v>522</v>
      </c>
      <c r="F441">
        <v>1599</v>
      </c>
      <c r="G441">
        <v>10</v>
      </c>
    </row>
    <row r="442" spans="1:7">
      <c r="A442">
        <f>_xlfn.XLOOKUP(B442,[1]Brand!$A$2:$A$88,[1]Brand!$B$2:$B$88)</f>
        <v>14</v>
      </c>
      <c r="B442">
        <v>76</v>
      </c>
      <c r="C442" t="s">
        <v>505</v>
      </c>
      <c r="D442" t="s">
        <v>521</v>
      </c>
      <c r="E442" t="s">
        <v>523</v>
      </c>
      <c r="F442">
        <v>1299</v>
      </c>
      <c r="G442">
        <v>8</v>
      </c>
    </row>
    <row r="443" spans="1:7">
      <c r="A443">
        <f>_xlfn.XLOOKUP(B443,[1]Brand!$A$2:$A$88,[1]Brand!$B$2:$B$88)</f>
        <v>14</v>
      </c>
      <c r="B443">
        <v>76</v>
      </c>
      <c r="C443" t="s">
        <v>505</v>
      </c>
      <c r="D443" t="s">
        <v>521</v>
      </c>
      <c r="E443" t="s">
        <v>524</v>
      </c>
      <c r="F443">
        <v>999</v>
      </c>
      <c r="G443">
        <v>12</v>
      </c>
    </row>
    <row r="444" spans="1:7">
      <c r="A444">
        <f>_xlfn.XLOOKUP(B444,[1]Brand!$A$2:$A$88,[1]Brand!$B$2:$B$88)</f>
        <v>14</v>
      </c>
      <c r="B444">
        <v>76</v>
      </c>
      <c r="C444" t="s">
        <v>505</v>
      </c>
      <c r="D444" t="s">
        <v>521</v>
      </c>
      <c r="E444" t="s">
        <v>525</v>
      </c>
      <c r="F444">
        <v>2499</v>
      </c>
      <c r="G444">
        <v>5</v>
      </c>
    </row>
    <row r="445" spans="1:7">
      <c r="A445">
        <f>_xlfn.XLOOKUP(B445,[1]Brand!$A$2:$A$88,[1]Brand!$B$2:$B$88)</f>
        <v>14</v>
      </c>
      <c r="B445">
        <v>77</v>
      </c>
      <c r="C445" t="s">
        <v>505</v>
      </c>
      <c r="D445" t="s">
        <v>526</v>
      </c>
      <c r="E445" t="s">
        <v>527</v>
      </c>
      <c r="F445">
        <v>1299</v>
      </c>
      <c r="G445">
        <v>10</v>
      </c>
    </row>
    <row r="446" spans="1:7">
      <c r="A446">
        <f>_xlfn.XLOOKUP(B446,[1]Brand!$A$2:$A$88,[1]Brand!$B$2:$B$88)</f>
        <v>14</v>
      </c>
      <c r="B446">
        <v>77</v>
      </c>
      <c r="C446" t="s">
        <v>505</v>
      </c>
      <c r="D446" t="s">
        <v>526</v>
      </c>
      <c r="E446" t="s">
        <v>528</v>
      </c>
      <c r="F446">
        <v>3599</v>
      </c>
      <c r="G446">
        <v>7</v>
      </c>
    </row>
    <row r="447" spans="1:7">
      <c r="A447">
        <f>_xlfn.XLOOKUP(B447,[1]Brand!$A$2:$A$88,[1]Brand!$B$2:$B$88)</f>
        <v>14</v>
      </c>
      <c r="B447">
        <v>77</v>
      </c>
      <c r="C447" t="s">
        <v>505</v>
      </c>
      <c r="D447" t="s">
        <v>526</v>
      </c>
      <c r="E447" t="s">
        <v>529</v>
      </c>
      <c r="F447">
        <v>3999</v>
      </c>
      <c r="G447">
        <v>5</v>
      </c>
    </row>
    <row r="448" spans="1:7">
      <c r="A448">
        <f>_xlfn.XLOOKUP(B448,[1]Brand!$A$2:$A$88,[1]Brand!$B$2:$B$88)</f>
        <v>14</v>
      </c>
      <c r="B448">
        <v>77</v>
      </c>
      <c r="C448" t="s">
        <v>505</v>
      </c>
      <c r="D448" t="s">
        <v>526</v>
      </c>
      <c r="E448" t="s">
        <v>530</v>
      </c>
      <c r="F448">
        <v>2599</v>
      </c>
      <c r="G448">
        <v>8</v>
      </c>
    </row>
    <row r="449" spans="1:7">
      <c r="A449">
        <f>_xlfn.XLOOKUP(B449,[1]Brand!$A$2:$A$88,[1]Brand!$B$2:$B$88)</f>
        <v>15</v>
      </c>
      <c r="B449">
        <v>78</v>
      </c>
      <c r="C449" t="s">
        <v>531</v>
      </c>
      <c r="D449" t="s">
        <v>532</v>
      </c>
      <c r="E449" t="s">
        <v>533</v>
      </c>
      <c r="F449">
        <v>1299</v>
      </c>
      <c r="G449">
        <v>10</v>
      </c>
    </row>
    <row r="450" spans="1:7">
      <c r="A450">
        <f>_xlfn.XLOOKUP(B450,[1]Brand!$A$2:$A$88,[1]Brand!$B$2:$B$88)</f>
        <v>15</v>
      </c>
      <c r="B450">
        <v>78</v>
      </c>
      <c r="C450" t="s">
        <v>531</v>
      </c>
      <c r="D450" t="s">
        <v>532</v>
      </c>
      <c r="E450" t="s">
        <v>534</v>
      </c>
      <c r="F450">
        <v>1499</v>
      </c>
      <c r="G450">
        <v>8</v>
      </c>
    </row>
    <row r="451" spans="1:7">
      <c r="A451">
        <f>_xlfn.XLOOKUP(B451,[1]Brand!$A$2:$A$88,[1]Brand!$B$2:$B$88)</f>
        <v>15</v>
      </c>
      <c r="B451">
        <v>78</v>
      </c>
      <c r="C451" t="s">
        <v>531</v>
      </c>
      <c r="D451" t="s">
        <v>532</v>
      </c>
      <c r="E451" t="s">
        <v>535</v>
      </c>
      <c r="F451">
        <v>999</v>
      </c>
      <c r="G451">
        <v>12</v>
      </c>
    </row>
    <row r="452" spans="1:7">
      <c r="A452">
        <f>_xlfn.XLOOKUP(B452,[1]Brand!$A$2:$A$88,[1]Brand!$B$2:$B$88)</f>
        <v>15</v>
      </c>
      <c r="B452">
        <v>78</v>
      </c>
      <c r="C452" t="s">
        <v>531</v>
      </c>
      <c r="D452" t="s">
        <v>532</v>
      </c>
      <c r="E452" t="s">
        <v>536</v>
      </c>
      <c r="F452">
        <v>3499</v>
      </c>
      <c r="G452">
        <v>5</v>
      </c>
    </row>
    <row r="453" spans="1:7">
      <c r="A453">
        <f>_xlfn.XLOOKUP(B453,[1]Brand!$A$2:$A$88,[1]Brand!$B$2:$B$88)</f>
        <v>15</v>
      </c>
      <c r="B453">
        <v>79</v>
      </c>
      <c r="C453" t="s">
        <v>531</v>
      </c>
      <c r="D453" t="s">
        <v>537</v>
      </c>
      <c r="E453" t="s">
        <v>538</v>
      </c>
      <c r="F453">
        <v>1599</v>
      </c>
      <c r="G453">
        <v>10</v>
      </c>
    </row>
    <row r="454" spans="1:7">
      <c r="A454">
        <f>_xlfn.XLOOKUP(B454,[1]Brand!$A$2:$A$88,[1]Brand!$B$2:$B$88)</f>
        <v>15</v>
      </c>
      <c r="B454">
        <v>79</v>
      </c>
      <c r="C454" t="s">
        <v>531</v>
      </c>
      <c r="D454" t="s">
        <v>537</v>
      </c>
      <c r="E454" t="s">
        <v>539</v>
      </c>
      <c r="F454">
        <v>1799</v>
      </c>
      <c r="G454">
        <v>8</v>
      </c>
    </row>
    <row r="455" spans="1:7">
      <c r="A455">
        <f>_xlfn.XLOOKUP(B455,[1]Brand!$A$2:$A$88,[1]Brand!$B$2:$B$88)</f>
        <v>15</v>
      </c>
      <c r="B455">
        <v>79</v>
      </c>
      <c r="C455" t="s">
        <v>531</v>
      </c>
      <c r="D455" t="s">
        <v>537</v>
      </c>
      <c r="E455" t="s">
        <v>540</v>
      </c>
      <c r="F455">
        <v>1299</v>
      </c>
      <c r="G455">
        <v>12</v>
      </c>
    </row>
    <row r="456" spans="1:7">
      <c r="A456">
        <f>_xlfn.XLOOKUP(B456,[1]Brand!$A$2:$A$88,[1]Brand!$B$2:$B$88)</f>
        <v>15</v>
      </c>
      <c r="B456">
        <v>79</v>
      </c>
      <c r="C456" t="s">
        <v>531</v>
      </c>
      <c r="D456" t="s">
        <v>537</v>
      </c>
      <c r="E456" t="s">
        <v>541</v>
      </c>
      <c r="F456">
        <v>3999</v>
      </c>
      <c r="G456">
        <v>5</v>
      </c>
    </row>
    <row r="457" spans="1:7">
      <c r="A457">
        <f>_xlfn.XLOOKUP(B457,[1]Brand!$A$2:$A$88,[1]Brand!$B$2:$B$88)</f>
        <v>15</v>
      </c>
      <c r="B457">
        <v>80</v>
      </c>
      <c r="C457" t="s">
        <v>531</v>
      </c>
      <c r="D457" t="s">
        <v>542</v>
      </c>
      <c r="E457" t="s">
        <v>543</v>
      </c>
      <c r="F457">
        <v>1499</v>
      </c>
      <c r="G457">
        <v>10</v>
      </c>
    </row>
    <row r="458" spans="1:7">
      <c r="A458">
        <f>_xlfn.XLOOKUP(B458,[1]Brand!$A$2:$A$88,[1]Brand!$B$2:$B$88)</f>
        <v>15</v>
      </c>
      <c r="B458">
        <v>80</v>
      </c>
      <c r="C458" t="s">
        <v>531</v>
      </c>
      <c r="D458" t="s">
        <v>542</v>
      </c>
      <c r="E458" t="s">
        <v>544</v>
      </c>
      <c r="F458">
        <v>1799</v>
      </c>
      <c r="G458">
        <v>8</v>
      </c>
    </row>
    <row r="459" spans="1:7">
      <c r="A459">
        <f>_xlfn.XLOOKUP(B459,[1]Brand!$A$2:$A$88,[1]Brand!$B$2:$B$88)</f>
        <v>15</v>
      </c>
      <c r="B459">
        <v>80</v>
      </c>
      <c r="C459" t="s">
        <v>531</v>
      </c>
      <c r="D459" t="s">
        <v>542</v>
      </c>
      <c r="E459" t="s">
        <v>545</v>
      </c>
      <c r="F459">
        <v>999</v>
      </c>
      <c r="G459">
        <v>12</v>
      </c>
    </row>
    <row r="460" spans="1:7">
      <c r="A460">
        <f>_xlfn.XLOOKUP(B460,[1]Brand!$A$2:$A$88,[1]Brand!$B$2:$B$88)</f>
        <v>15</v>
      </c>
      <c r="B460">
        <v>80</v>
      </c>
      <c r="C460" t="s">
        <v>531</v>
      </c>
      <c r="D460" t="s">
        <v>542</v>
      </c>
      <c r="E460" t="s">
        <v>546</v>
      </c>
      <c r="F460">
        <v>3999</v>
      </c>
      <c r="G460">
        <v>5</v>
      </c>
    </row>
    <row r="461" spans="1:7">
      <c r="A461">
        <f>_xlfn.XLOOKUP(B461,[1]Brand!$A$2:$A$88,[1]Brand!$B$2:$B$88)</f>
        <v>15</v>
      </c>
      <c r="B461">
        <v>81</v>
      </c>
      <c r="C461" t="s">
        <v>531</v>
      </c>
      <c r="D461" t="s">
        <v>547</v>
      </c>
      <c r="E461" t="s">
        <v>533</v>
      </c>
      <c r="F461">
        <v>1999</v>
      </c>
      <c r="G461">
        <v>10</v>
      </c>
    </row>
    <row r="462" spans="1:7">
      <c r="A462">
        <f>_xlfn.XLOOKUP(B462,[1]Brand!$A$2:$A$88,[1]Brand!$B$2:$B$88)</f>
        <v>15</v>
      </c>
      <c r="B462">
        <v>81</v>
      </c>
      <c r="C462" t="s">
        <v>531</v>
      </c>
      <c r="D462" t="s">
        <v>547</v>
      </c>
      <c r="E462" t="s">
        <v>548</v>
      </c>
      <c r="F462">
        <v>2499</v>
      </c>
      <c r="G462">
        <v>8</v>
      </c>
    </row>
    <row r="463" spans="1:7">
      <c r="A463">
        <f>_xlfn.XLOOKUP(B463,[1]Brand!$A$2:$A$88,[1]Brand!$B$2:$B$88)</f>
        <v>15</v>
      </c>
      <c r="B463">
        <v>81</v>
      </c>
      <c r="C463" t="s">
        <v>531</v>
      </c>
      <c r="D463" t="s">
        <v>547</v>
      </c>
      <c r="E463" t="s">
        <v>549</v>
      </c>
      <c r="F463">
        <v>1499</v>
      </c>
      <c r="G463">
        <v>12</v>
      </c>
    </row>
    <row r="464" spans="1:7">
      <c r="A464">
        <f>_xlfn.XLOOKUP(B464,[1]Brand!$A$2:$A$88,[1]Brand!$B$2:$B$88)</f>
        <v>15</v>
      </c>
      <c r="B464">
        <v>81</v>
      </c>
      <c r="C464" t="s">
        <v>531</v>
      </c>
      <c r="D464" t="s">
        <v>547</v>
      </c>
      <c r="E464" t="s">
        <v>550</v>
      </c>
      <c r="F464">
        <v>4999</v>
      </c>
      <c r="G464">
        <v>5</v>
      </c>
    </row>
    <row r="465" spans="1:7">
      <c r="A465">
        <f>_xlfn.XLOOKUP(B465,[1]Brand!$A$2:$A$88,[1]Brand!$B$2:$B$88)</f>
        <v>15</v>
      </c>
      <c r="B465">
        <v>82</v>
      </c>
      <c r="C465" t="s">
        <v>531</v>
      </c>
      <c r="D465" t="s">
        <v>551</v>
      </c>
      <c r="E465" t="s">
        <v>538</v>
      </c>
      <c r="F465">
        <v>1599</v>
      </c>
      <c r="G465">
        <v>10</v>
      </c>
    </row>
    <row r="466" spans="1:7">
      <c r="A466">
        <f>_xlfn.XLOOKUP(B466,[1]Brand!$A$2:$A$88,[1]Brand!$B$2:$B$88)</f>
        <v>15</v>
      </c>
      <c r="B466">
        <v>82</v>
      </c>
      <c r="C466" t="s">
        <v>531</v>
      </c>
      <c r="D466" t="s">
        <v>551</v>
      </c>
      <c r="E466" t="s">
        <v>552</v>
      </c>
      <c r="F466">
        <v>1799</v>
      </c>
      <c r="G466">
        <v>8</v>
      </c>
    </row>
    <row r="467" spans="1:7">
      <c r="A467">
        <f>_xlfn.XLOOKUP(B467,[1]Brand!$A$2:$A$88,[1]Brand!$B$2:$B$88)</f>
        <v>15</v>
      </c>
      <c r="B467">
        <v>82</v>
      </c>
      <c r="C467" t="s">
        <v>531</v>
      </c>
      <c r="D467" t="s">
        <v>551</v>
      </c>
      <c r="E467" t="s">
        <v>549</v>
      </c>
      <c r="F467">
        <v>1299</v>
      </c>
      <c r="G467">
        <v>12</v>
      </c>
    </row>
    <row r="468" spans="1:7">
      <c r="A468">
        <f>_xlfn.XLOOKUP(B468,[1]Brand!$A$2:$A$88,[1]Brand!$B$2:$B$88)</f>
        <v>15</v>
      </c>
      <c r="B468">
        <v>82</v>
      </c>
      <c r="C468" t="s">
        <v>531</v>
      </c>
      <c r="D468" t="s">
        <v>551</v>
      </c>
      <c r="E468" t="s">
        <v>553</v>
      </c>
      <c r="F468">
        <v>3999</v>
      </c>
      <c r="G468">
        <v>5</v>
      </c>
    </row>
    <row r="469" spans="1:7">
      <c r="A469">
        <f>_xlfn.XLOOKUP(B469,[1]Brand!$A$2:$A$88,[1]Brand!$B$2:$B$88)</f>
        <v>16</v>
      </c>
      <c r="B469">
        <v>83</v>
      </c>
      <c r="C469" t="s">
        <v>554</v>
      </c>
      <c r="D469" t="s">
        <v>555</v>
      </c>
      <c r="E469" t="s">
        <v>556</v>
      </c>
      <c r="F469">
        <v>150</v>
      </c>
      <c r="G469">
        <v>20</v>
      </c>
    </row>
    <row r="470" spans="1:7">
      <c r="A470">
        <f>_xlfn.XLOOKUP(B470,[1]Brand!$A$2:$A$88,[1]Brand!$B$2:$B$88)</f>
        <v>16</v>
      </c>
      <c r="B470">
        <v>83</v>
      </c>
      <c r="C470" t="s">
        <v>554</v>
      </c>
      <c r="D470" t="s">
        <v>555</v>
      </c>
      <c r="E470" t="s">
        <v>557</v>
      </c>
      <c r="F470">
        <v>60</v>
      </c>
      <c r="G470">
        <v>30</v>
      </c>
    </row>
    <row r="471" spans="1:7">
      <c r="A471">
        <f>_xlfn.XLOOKUP(B471,[1]Brand!$A$2:$A$88,[1]Brand!$B$2:$B$88)</f>
        <v>16</v>
      </c>
      <c r="B471">
        <v>83</v>
      </c>
      <c r="C471" t="s">
        <v>554</v>
      </c>
      <c r="D471" t="s">
        <v>555</v>
      </c>
      <c r="E471" t="s">
        <v>558</v>
      </c>
      <c r="F471">
        <v>40</v>
      </c>
      <c r="G471">
        <v>25</v>
      </c>
    </row>
    <row r="472" spans="1:7">
      <c r="A472">
        <f>_xlfn.XLOOKUP(B472,[1]Brand!$A$2:$A$88,[1]Brand!$B$2:$B$88)</f>
        <v>16</v>
      </c>
      <c r="B472">
        <v>83</v>
      </c>
      <c r="C472" t="s">
        <v>554</v>
      </c>
      <c r="D472" t="s">
        <v>555</v>
      </c>
      <c r="E472" t="s">
        <v>559</v>
      </c>
      <c r="F472">
        <v>35</v>
      </c>
      <c r="G472">
        <v>15</v>
      </c>
    </row>
    <row r="473" spans="1:7">
      <c r="A473">
        <f>_xlfn.XLOOKUP(B473,[1]Brand!$A$2:$A$88,[1]Brand!$B$2:$B$88)</f>
        <v>16</v>
      </c>
      <c r="B473">
        <v>83</v>
      </c>
      <c r="C473" t="s">
        <v>554</v>
      </c>
      <c r="D473" t="s">
        <v>555</v>
      </c>
      <c r="E473" t="s">
        <v>560</v>
      </c>
      <c r="F473">
        <v>80</v>
      </c>
      <c r="G473">
        <v>20</v>
      </c>
    </row>
    <row r="474" spans="1:7">
      <c r="A474">
        <f>_xlfn.XLOOKUP(B474,[1]Brand!$A$2:$A$88,[1]Brand!$B$2:$B$88)</f>
        <v>16</v>
      </c>
      <c r="B474">
        <v>83</v>
      </c>
      <c r="C474" t="s">
        <v>554</v>
      </c>
      <c r="D474" t="s">
        <v>555</v>
      </c>
      <c r="E474" t="s">
        <v>561</v>
      </c>
      <c r="F474">
        <v>50</v>
      </c>
      <c r="G474">
        <v>25</v>
      </c>
    </row>
    <row r="475" spans="1:7">
      <c r="A475">
        <f>_xlfn.XLOOKUP(B475,[1]Brand!$A$2:$A$88,[1]Brand!$B$2:$B$88)</f>
        <v>16</v>
      </c>
      <c r="B475">
        <v>83</v>
      </c>
      <c r="C475" t="s">
        <v>554</v>
      </c>
      <c r="D475" t="s">
        <v>555</v>
      </c>
      <c r="E475" t="s">
        <v>562</v>
      </c>
      <c r="F475">
        <v>30</v>
      </c>
      <c r="G475">
        <v>30</v>
      </c>
    </row>
    <row r="476" spans="1:7">
      <c r="A476">
        <f>_xlfn.XLOOKUP(B476,[1]Brand!$A$2:$A$88,[1]Brand!$B$2:$B$88)</f>
        <v>16</v>
      </c>
      <c r="B476">
        <v>83</v>
      </c>
      <c r="C476" t="s">
        <v>554</v>
      </c>
      <c r="D476" t="s">
        <v>555</v>
      </c>
      <c r="E476" t="s">
        <v>563</v>
      </c>
      <c r="F476">
        <v>25</v>
      </c>
      <c r="G476">
        <v>15</v>
      </c>
    </row>
    <row r="477" spans="1:7">
      <c r="A477">
        <f>_xlfn.XLOOKUP(B477,[1]Brand!$A$2:$A$88,[1]Brand!$B$2:$B$88)</f>
        <v>16</v>
      </c>
      <c r="B477">
        <v>84</v>
      </c>
      <c r="C477" t="s">
        <v>554</v>
      </c>
      <c r="D477" t="s">
        <v>564</v>
      </c>
      <c r="E477" t="s">
        <v>565</v>
      </c>
      <c r="F477">
        <v>120</v>
      </c>
      <c r="G477">
        <v>20</v>
      </c>
    </row>
    <row r="478" spans="1:7">
      <c r="A478">
        <f>_xlfn.XLOOKUP(B478,[1]Brand!$A$2:$A$88,[1]Brand!$B$2:$B$88)</f>
        <v>16</v>
      </c>
      <c r="B478">
        <v>84</v>
      </c>
      <c r="C478" t="s">
        <v>554</v>
      </c>
      <c r="D478" t="s">
        <v>564</v>
      </c>
      <c r="E478" t="s">
        <v>566</v>
      </c>
      <c r="F478">
        <v>40</v>
      </c>
      <c r="G478">
        <v>25</v>
      </c>
    </row>
    <row r="479" spans="1:7">
      <c r="A479">
        <f>_xlfn.XLOOKUP(B479,[1]Brand!$A$2:$A$88,[1]Brand!$B$2:$B$88)</f>
        <v>16</v>
      </c>
      <c r="B479">
        <v>84</v>
      </c>
      <c r="C479" t="s">
        <v>554</v>
      </c>
      <c r="D479" t="s">
        <v>564</v>
      </c>
      <c r="E479" t="s">
        <v>567</v>
      </c>
      <c r="F479">
        <v>90</v>
      </c>
      <c r="G479">
        <v>15</v>
      </c>
    </row>
    <row r="480" spans="1:7">
      <c r="A480">
        <f>_xlfn.XLOOKUP(B480,[1]Brand!$A$2:$A$88,[1]Brand!$B$2:$B$88)</f>
        <v>16</v>
      </c>
      <c r="B480">
        <v>84</v>
      </c>
      <c r="C480" t="s">
        <v>554</v>
      </c>
      <c r="D480" t="s">
        <v>564</v>
      </c>
      <c r="E480" t="s">
        <v>568</v>
      </c>
      <c r="F480">
        <v>150</v>
      </c>
      <c r="G480">
        <v>10</v>
      </c>
    </row>
    <row r="481" spans="1:7">
      <c r="A481">
        <f>_xlfn.XLOOKUP(B481,[1]Brand!$A$2:$A$88,[1]Brand!$B$2:$B$88)</f>
        <v>16</v>
      </c>
      <c r="B481">
        <v>85</v>
      </c>
      <c r="C481" t="s">
        <v>554</v>
      </c>
      <c r="D481" t="s">
        <v>569</v>
      </c>
      <c r="E481" t="s">
        <v>570</v>
      </c>
      <c r="F481">
        <v>312.33</v>
      </c>
      <c r="G481">
        <v>20</v>
      </c>
    </row>
    <row r="482" spans="1:7">
      <c r="A482">
        <f>_xlfn.XLOOKUP(B482,[1]Brand!$A$2:$A$88,[1]Brand!$B$2:$B$88)</f>
        <v>16</v>
      </c>
      <c r="B482">
        <v>85</v>
      </c>
      <c r="C482" t="s">
        <v>554</v>
      </c>
      <c r="D482" t="s">
        <v>569</v>
      </c>
      <c r="E482" t="s">
        <v>571</v>
      </c>
      <c r="F482">
        <v>80</v>
      </c>
      <c r="G482">
        <v>25</v>
      </c>
    </row>
    <row r="483" spans="1:7">
      <c r="A483">
        <f>_xlfn.XLOOKUP(B483,[1]Brand!$A$2:$A$88,[1]Brand!$B$2:$B$88)</f>
        <v>16</v>
      </c>
      <c r="B483">
        <v>85</v>
      </c>
      <c r="C483" t="s">
        <v>554</v>
      </c>
      <c r="D483" t="s">
        <v>569</v>
      </c>
      <c r="E483" t="s">
        <v>572</v>
      </c>
      <c r="F483">
        <v>15.13</v>
      </c>
      <c r="G483">
        <v>30</v>
      </c>
    </row>
    <row r="484" spans="1:7">
      <c r="A484">
        <f>_xlfn.XLOOKUP(B484,[1]Brand!$A$2:$A$88,[1]Brand!$B$2:$B$88)</f>
        <v>16</v>
      </c>
      <c r="B484">
        <v>85</v>
      </c>
      <c r="C484" t="s">
        <v>554</v>
      </c>
      <c r="D484" t="s">
        <v>569</v>
      </c>
      <c r="E484" t="s">
        <v>573</v>
      </c>
      <c r="F484">
        <v>45</v>
      </c>
      <c r="G484">
        <v>40</v>
      </c>
    </row>
    <row r="485" spans="1:7">
      <c r="A485">
        <f>_xlfn.XLOOKUP(B485,[1]Brand!$A$2:$A$88,[1]Brand!$B$2:$B$88)</f>
        <v>16</v>
      </c>
      <c r="B485">
        <v>86</v>
      </c>
      <c r="C485" t="s">
        <v>554</v>
      </c>
      <c r="D485" t="s">
        <v>574</v>
      </c>
      <c r="E485" t="s">
        <v>575</v>
      </c>
      <c r="F485">
        <v>400</v>
      </c>
      <c r="G485">
        <v>15</v>
      </c>
    </row>
    <row r="486" spans="1:7">
      <c r="A486">
        <f>_xlfn.XLOOKUP(B486,[1]Brand!$A$2:$A$88,[1]Brand!$B$2:$B$88)</f>
        <v>16</v>
      </c>
      <c r="B486">
        <v>86</v>
      </c>
      <c r="C486" t="s">
        <v>554</v>
      </c>
      <c r="D486" t="s">
        <v>574</v>
      </c>
      <c r="E486" t="s">
        <v>576</v>
      </c>
      <c r="F486">
        <v>150</v>
      </c>
      <c r="G486">
        <v>20</v>
      </c>
    </row>
    <row r="487" spans="1:7">
      <c r="A487">
        <f>_xlfn.XLOOKUP(B487,[1]Brand!$A$2:$A$88,[1]Brand!$B$2:$B$88)</f>
        <v>16</v>
      </c>
      <c r="B487">
        <v>86</v>
      </c>
      <c r="C487" t="s">
        <v>554</v>
      </c>
      <c r="D487" t="s">
        <v>574</v>
      </c>
      <c r="E487" t="s">
        <v>577</v>
      </c>
      <c r="F487">
        <v>350</v>
      </c>
      <c r="G487">
        <v>10</v>
      </c>
    </row>
    <row r="488" spans="1:7">
      <c r="A488">
        <f>_xlfn.XLOOKUP(B488,[1]Brand!$A$2:$A$88,[1]Brand!$B$2:$B$88)</f>
        <v>16</v>
      </c>
      <c r="B488">
        <v>86</v>
      </c>
      <c r="C488" t="s">
        <v>554</v>
      </c>
      <c r="D488" t="s">
        <v>574</v>
      </c>
      <c r="E488" t="s">
        <v>578</v>
      </c>
      <c r="F488">
        <v>120</v>
      </c>
      <c r="G488">
        <v>25</v>
      </c>
    </row>
    <row r="489" spans="1:7">
      <c r="A489">
        <f>_xlfn.XLOOKUP(B489,[1]Brand!$A$2:$A$88,[1]Brand!$B$2:$B$88)</f>
        <v>16</v>
      </c>
      <c r="B489">
        <v>86</v>
      </c>
      <c r="C489" t="s">
        <v>554</v>
      </c>
      <c r="D489" t="s">
        <v>574</v>
      </c>
      <c r="E489" t="s">
        <v>579</v>
      </c>
      <c r="F489">
        <v>300</v>
      </c>
      <c r="G489">
        <v>10</v>
      </c>
    </row>
    <row r="490" spans="1:7">
      <c r="A490">
        <f>_xlfn.XLOOKUP(B490,[1]Brand!$A$2:$A$88,[1]Brand!$B$2:$B$88)</f>
        <v>16</v>
      </c>
      <c r="B490">
        <v>86</v>
      </c>
      <c r="C490" t="s">
        <v>554</v>
      </c>
      <c r="D490" t="s">
        <v>574</v>
      </c>
      <c r="E490" t="s">
        <v>580</v>
      </c>
      <c r="F490">
        <v>80</v>
      </c>
      <c r="G490">
        <v>20</v>
      </c>
    </row>
    <row r="491" spans="1:7">
      <c r="A491">
        <f>_xlfn.XLOOKUP(B491,[1]Brand!$A$2:$A$88,[1]Brand!$B$2:$B$88)</f>
        <v>16</v>
      </c>
      <c r="B491">
        <v>86</v>
      </c>
      <c r="C491" t="s">
        <v>554</v>
      </c>
      <c r="D491" t="s">
        <v>574</v>
      </c>
      <c r="E491" t="s">
        <v>581</v>
      </c>
      <c r="F491">
        <v>200</v>
      </c>
      <c r="G491">
        <v>15</v>
      </c>
    </row>
    <row r="492" spans="1:7">
      <c r="A492">
        <f>_xlfn.XLOOKUP(B492,[1]Brand!$A$2:$A$88,[1]Brand!$B$2:$B$88)</f>
        <v>16</v>
      </c>
      <c r="B492">
        <v>86</v>
      </c>
      <c r="C492" t="s">
        <v>554</v>
      </c>
      <c r="D492" t="s">
        <v>574</v>
      </c>
      <c r="E492" t="s">
        <v>582</v>
      </c>
      <c r="F492">
        <v>150</v>
      </c>
      <c r="G492">
        <v>25</v>
      </c>
    </row>
    <row r="493" spans="1:7">
      <c r="A493">
        <f>_xlfn.XLOOKUP(B493,[1]Brand!$A$2:$A$88,[1]Brand!$B$2:$B$88)</f>
        <v>16</v>
      </c>
      <c r="B493">
        <v>87</v>
      </c>
      <c r="C493" t="s">
        <v>554</v>
      </c>
      <c r="D493" t="s">
        <v>583</v>
      </c>
      <c r="E493" t="s">
        <v>556</v>
      </c>
      <c r="F493">
        <v>150</v>
      </c>
      <c r="G493">
        <v>20</v>
      </c>
    </row>
    <row r="494" spans="1:7">
      <c r="A494">
        <f>_xlfn.XLOOKUP(B494,[1]Brand!$A$2:$A$88,[1]Brand!$B$2:$B$88)</f>
        <v>16</v>
      </c>
      <c r="B494">
        <v>87</v>
      </c>
      <c r="C494" t="s">
        <v>554</v>
      </c>
      <c r="D494" t="s">
        <v>583</v>
      </c>
      <c r="E494" t="s">
        <v>557</v>
      </c>
      <c r="F494">
        <v>60</v>
      </c>
      <c r="G494">
        <v>30</v>
      </c>
    </row>
    <row r="495" spans="1:7">
      <c r="A495">
        <f>_xlfn.XLOOKUP(B495,[1]Brand!$A$2:$A$88,[1]Brand!$B$2:$B$88)</f>
        <v>16</v>
      </c>
      <c r="B495">
        <v>87</v>
      </c>
      <c r="C495" t="s">
        <v>554</v>
      </c>
      <c r="D495" t="s">
        <v>583</v>
      </c>
      <c r="E495" t="s">
        <v>558</v>
      </c>
      <c r="F495">
        <v>40</v>
      </c>
      <c r="G495">
        <v>25</v>
      </c>
    </row>
    <row r="496" spans="1:7">
      <c r="A496">
        <f>_xlfn.XLOOKUP(B496,[1]Brand!$A$2:$A$88,[1]Brand!$B$2:$B$88)</f>
        <v>16</v>
      </c>
      <c r="B496">
        <v>87</v>
      </c>
      <c r="C496" t="s">
        <v>554</v>
      </c>
      <c r="D496" t="s">
        <v>583</v>
      </c>
      <c r="E496" t="s">
        <v>559</v>
      </c>
      <c r="F496">
        <v>35</v>
      </c>
      <c r="G496">
        <v>15</v>
      </c>
    </row>
    <row r="497" spans="1:7">
      <c r="A497">
        <f>_xlfn.XLOOKUP(B497,[1]Brand!$A$2:$A$88,[1]Brand!$B$2:$B$88)</f>
        <v>16</v>
      </c>
      <c r="B497">
        <v>87</v>
      </c>
      <c r="C497" t="s">
        <v>554</v>
      </c>
      <c r="D497" t="s">
        <v>583</v>
      </c>
      <c r="E497" t="s">
        <v>560</v>
      </c>
      <c r="F497">
        <v>80</v>
      </c>
      <c r="G497">
        <v>20</v>
      </c>
    </row>
    <row r="498" spans="1:7">
      <c r="A498">
        <f>_xlfn.XLOOKUP(B498,[1]Brand!$A$2:$A$88,[1]Brand!$B$2:$B$88)</f>
        <v>16</v>
      </c>
      <c r="B498">
        <v>87</v>
      </c>
      <c r="C498" t="s">
        <v>554</v>
      </c>
      <c r="D498" t="s">
        <v>583</v>
      </c>
      <c r="E498" t="s">
        <v>561</v>
      </c>
      <c r="F498">
        <v>50</v>
      </c>
      <c r="G498">
        <v>25</v>
      </c>
    </row>
    <row r="499" spans="1:7">
      <c r="A499">
        <f>_xlfn.XLOOKUP(B499,[1]Brand!$A$2:$A$88,[1]Brand!$B$2:$B$88)</f>
        <v>16</v>
      </c>
      <c r="B499">
        <v>87</v>
      </c>
      <c r="C499" t="s">
        <v>554</v>
      </c>
      <c r="D499" t="s">
        <v>583</v>
      </c>
      <c r="E499" t="s">
        <v>562</v>
      </c>
      <c r="F499">
        <v>30</v>
      </c>
      <c r="G499">
        <v>30</v>
      </c>
    </row>
    <row r="500" spans="1:7">
      <c r="A500">
        <f>_xlfn.XLOOKUP(B500,[1]Brand!$A$2:$A$88,[1]Brand!$B$2:$B$88)</f>
        <v>16</v>
      </c>
      <c r="B500">
        <v>87</v>
      </c>
      <c r="C500" t="s">
        <v>554</v>
      </c>
      <c r="D500" t="s">
        <v>583</v>
      </c>
      <c r="E500" t="s">
        <v>563</v>
      </c>
      <c r="F500">
        <v>25</v>
      </c>
      <c r="G500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891F27-5C85-4AD9-9C42-EEBBCBA3BE24}"/>
</file>

<file path=customXml/itemProps2.xml><?xml version="1.0" encoding="utf-8"?>
<ds:datastoreItem xmlns:ds="http://schemas.openxmlformats.org/officeDocument/2006/customXml" ds:itemID="{B549D24A-F3B1-4A61-94E6-2CEB14136AAB}"/>
</file>

<file path=customXml/itemProps3.xml><?xml version="1.0" encoding="utf-8"?>
<ds:datastoreItem xmlns:ds="http://schemas.openxmlformats.org/officeDocument/2006/customXml" ds:itemID="{13EABDFA-F365-40CA-827E-365CBAD32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/>
  <cp:revision/>
  <dcterms:created xsi:type="dcterms:W3CDTF">2025-03-22T11:17:15Z</dcterms:created>
  <dcterms:modified xsi:type="dcterms:W3CDTF">2026-02-02T10:32:07Z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Order">
    <vt:r8>796200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