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_GPS_Activity\2024_2025\March\Power BI\Sprint 1\Dataset\Practice\"/>
    </mc:Choice>
  </mc:AlternateContent>
  <xr:revisionPtr revIDLastSave="0" documentId="13_ncr:1_{7FCA9E9E-2130-4E99-B2F2-DAD2C73BCEA8}" xr6:coauthVersionLast="47" xr6:coauthVersionMax="47" xr10:uidLastSave="{00000000-0000-0000-0000-000000000000}"/>
  <bookViews>
    <workbookView xWindow="-108" yWindow="-108" windowWidth="23256" windowHeight="12456" xr2:uid="{BDDED2FB-8398-4180-8002-0DBD88342291}"/>
  </bookViews>
  <sheets>
    <sheet name="Products" sheetId="1" r:id="rId1"/>
  </sheets>
  <externalReferences>
    <externalReference r:id="rId2"/>
  </externalReferences>
  <definedNames>
    <definedName name="_xlnm._FilterDatabase" localSheetId="0" hidden="1">Products!$A$1:$H$500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0" i="1" l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<sst xmlns="http://schemas.openxmlformats.org/spreadsheetml/2006/main" count="1505" uniqueCount="585">
  <si>
    <t>Id</t>
  </si>
  <si>
    <t>Category_Id</t>
  </si>
  <si>
    <t>Brand Id</t>
  </si>
  <si>
    <t>Sub Category</t>
  </si>
  <si>
    <t>Brand_name</t>
  </si>
  <si>
    <t>Product_Name</t>
  </si>
  <si>
    <t>Unit_Price</t>
  </si>
  <si>
    <t>Units_in_Stock</t>
  </si>
  <si>
    <t>Pulses</t>
  </si>
  <si>
    <t>Tata Sampann</t>
  </si>
  <si>
    <t>Urad Dal</t>
  </si>
  <si>
    <t>Spices</t>
  </si>
  <si>
    <t>Turmeric Powder</t>
  </si>
  <si>
    <t>Moong Dal</t>
  </si>
  <si>
    <t>Red Chilli Powder</t>
  </si>
  <si>
    <t>Chana Dal</t>
  </si>
  <si>
    <t>Coriander Powder</t>
  </si>
  <si>
    <t>Toor Dal</t>
  </si>
  <si>
    <t>Garam Masala</t>
  </si>
  <si>
    <t>Masoor Dal</t>
  </si>
  <si>
    <t>Cumin Powder</t>
  </si>
  <si>
    <t>Flour</t>
  </si>
  <si>
    <t>Aashirvaad</t>
  </si>
  <si>
    <t>Whole Wheat Atta</t>
  </si>
  <si>
    <t>Multigrain Atta</t>
  </si>
  <si>
    <t>Sharbati Atta</t>
  </si>
  <si>
    <t>Select Atta</t>
  </si>
  <si>
    <t>Sugar Release Control Atta</t>
  </si>
  <si>
    <t>Salt</t>
  </si>
  <si>
    <t>Iodized Salt</t>
  </si>
  <si>
    <t>Black Pepper Powder</t>
  </si>
  <si>
    <t>Ragi Flour</t>
  </si>
  <si>
    <t>Kitchen King Masala</t>
  </si>
  <si>
    <t>Besan (Gram Flour)</t>
  </si>
  <si>
    <t>Oils</t>
  </si>
  <si>
    <t>Fortune</t>
  </si>
  <si>
    <t>Rice Bran Health Oil</t>
  </si>
  <si>
    <t>Soya Health Oil</t>
  </si>
  <si>
    <t>Sunlite Sunflower Oil</t>
  </si>
  <si>
    <t>Kachi Ghani Mustard Oil</t>
  </si>
  <si>
    <t>Filtered Groundnut Oil</t>
  </si>
  <si>
    <t>Chakki Fresh Atta</t>
  </si>
  <si>
    <t>Rice</t>
  </si>
  <si>
    <t>Biryani Special Basmati Rice</t>
  </si>
  <si>
    <t>Everyday Basmati Rice</t>
  </si>
  <si>
    <t>Unpolished Chana Dal</t>
  </si>
  <si>
    <t>Unpolished Arhar Dal</t>
  </si>
  <si>
    <t>Cottonlite Oil</t>
  </si>
  <si>
    <t>Pehli Dhaar Mustard Oil</t>
  </si>
  <si>
    <t>Rozana Basmati Rice</t>
  </si>
  <si>
    <t>Unpolished Moong Dal</t>
  </si>
  <si>
    <t>Daawat</t>
  </si>
  <si>
    <t>Heritage Classic Basmati Rice</t>
  </si>
  <si>
    <t>Super Basmati Rice</t>
  </si>
  <si>
    <t>Rozana Gold Basmati Rice</t>
  </si>
  <si>
    <t>Brown Basmati Rice</t>
  </si>
  <si>
    <t>Traditional Basmati Rice</t>
  </si>
  <si>
    <t>Sehat Mini Mogra Basmati Rice</t>
  </si>
  <si>
    <t>Chef's Secret Basmati Rice</t>
  </si>
  <si>
    <t>Dubar Basmati Rice</t>
  </si>
  <si>
    <t>Rozana Silver Basmati Rice</t>
  </si>
  <si>
    <t>Heritage Daily Feast Tukda Basmati Rice</t>
  </si>
  <si>
    <t>India Gate</t>
  </si>
  <si>
    <t>Brown Rice</t>
  </si>
  <si>
    <t>Classic Basmati Rice</t>
  </si>
  <si>
    <t>Mogra Basmati Rice</t>
  </si>
  <si>
    <t>Feast Rozzana Basmati Rice</t>
  </si>
  <si>
    <t>Tibar Basmati Rice</t>
  </si>
  <si>
    <t>Mini Mogra Basmati Rice</t>
  </si>
  <si>
    <t>Sona Masoori Rice</t>
  </si>
  <si>
    <t>Jeera Rice</t>
  </si>
  <si>
    <t>Saffola</t>
  </si>
  <si>
    <t>Total Oil</t>
  </si>
  <si>
    <t>Gold Oil</t>
  </si>
  <si>
    <t>Active Oil</t>
  </si>
  <si>
    <t>Tasty Oil</t>
  </si>
  <si>
    <t>Oats</t>
  </si>
  <si>
    <t>Masala Oats</t>
  </si>
  <si>
    <t>Plain Oats</t>
  </si>
  <si>
    <t>Snacks</t>
  </si>
  <si>
    <t>Oodles</t>
  </si>
  <si>
    <t>Honey</t>
  </si>
  <si>
    <t>Pure Honey</t>
  </si>
  <si>
    <t>Immunity</t>
  </si>
  <si>
    <t>Immuniveda Turmeric Milk</t>
  </si>
  <si>
    <t>Crunchiez</t>
  </si>
  <si>
    <t>MDH</t>
  </si>
  <si>
    <t>Chana Masala</t>
  </si>
  <si>
    <t>Deggi Mirch</t>
  </si>
  <si>
    <t>Rajma Masala</t>
  </si>
  <si>
    <t>Pav Bhaji Masala</t>
  </si>
  <si>
    <t>Meat Masala</t>
  </si>
  <si>
    <t>Sambar Masala</t>
  </si>
  <si>
    <t>Tandoori Masala</t>
  </si>
  <si>
    <t>Biryani Masala</t>
  </si>
  <si>
    <t>Everest</t>
  </si>
  <si>
    <t>Shahi Biryani Masala</t>
  </si>
  <si>
    <t>Hingraj Powder</t>
  </si>
  <si>
    <t>Dry Mango Powder</t>
  </si>
  <si>
    <t>Tikhalal Chilli Powder</t>
  </si>
  <si>
    <t>Tandoori Chicken Masala</t>
  </si>
  <si>
    <t>Chaat Masala</t>
  </si>
  <si>
    <t>Chicken Masala</t>
  </si>
  <si>
    <t>Oral Care</t>
  </si>
  <si>
    <t>Colgate</t>
  </si>
  <si>
    <t>Total Advanced Health Toothpaste</t>
  </si>
  <si>
    <t>MaxFresh Spicy Fresh Red Gel Toothpaste</t>
  </si>
  <si>
    <t>Strong Teeth Toothpaste</t>
  </si>
  <si>
    <t>Visible White Toothpaste</t>
  </si>
  <si>
    <t>Sensitive Plus Toothpaste</t>
  </si>
  <si>
    <t>Herbal Toothpaste</t>
  </si>
  <si>
    <t>Kids Barbie Toothpaste</t>
  </si>
  <si>
    <t>Plax Fresh Mint Mouthwash</t>
  </si>
  <si>
    <t>ZigZag Toothbrush</t>
  </si>
  <si>
    <t>SlimSoft Charcoal Toothbrush</t>
  </si>
  <si>
    <t>Disinfectants</t>
  </si>
  <si>
    <t>Dettol</t>
  </si>
  <si>
    <t>Multi-Use Hygiene Liquid</t>
  </si>
  <si>
    <t>Antiseptic Liquid</t>
  </si>
  <si>
    <t>Soaps</t>
  </si>
  <si>
    <t>Original Bar Soap</t>
  </si>
  <si>
    <t>Sensitive Bar Soap</t>
  </si>
  <si>
    <t>Hand Wash</t>
  </si>
  <si>
    <t>Liquid Hand Wash</t>
  </si>
  <si>
    <t>Surface Cleaners</t>
  </si>
  <si>
    <t>Multi-Purpose Cleaner</t>
  </si>
  <si>
    <t>Wipes</t>
  </si>
  <si>
    <t>Antibacterial Wipes</t>
  </si>
  <si>
    <t>Sanitizers</t>
  </si>
  <si>
    <t>Instant Hand Sanitizer Gel</t>
  </si>
  <si>
    <t>Sprays</t>
  </si>
  <si>
    <t>Disinfectant Spray</t>
  </si>
  <si>
    <t>Laundry</t>
  </si>
  <si>
    <t>Laundry Sanitizer</t>
  </si>
  <si>
    <t>Lifebuoy</t>
  </si>
  <si>
    <t>Total 10 Soap</t>
  </si>
  <si>
    <t>Germ Protection Soap</t>
  </si>
  <si>
    <t>Total 10 Hand Wash</t>
  </si>
  <si>
    <t>Mild Care Hand Wash</t>
  </si>
  <si>
    <t>Body Wash</t>
  </si>
  <si>
    <t>Total 10 Body Wash</t>
  </si>
  <si>
    <t>Lemon Fresh Body Wash</t>
  </si>
  <si>
    <t>Hand Sanitizer</t>
  </si>
  <si>
    <t>Immunity Boosting Hand Sanitizer</t>
  </si>
  <si>
    <t>Germ Protection Spray</t>
  </si>
  <si>
    <t>Detergents</t>
  </si>
  <si>
    <t>Surf Excel</t>
  </si>
  <si>
    <t>Matic Front Load Detergent Powder</t>
  </si>
  <si>
    <t>Matic Top Load Detergent Powder</t>
  </si>
  <si>
    <t>Quick Wash Detergent Powder</t>
  </si>
  <si>
    <t>Easy Wash Detergent Powder</t>
  </si>
  <si>
    <t>Detergent Bar</t>
  </si>
  <si>
    <t>Liquid Detergent</t>
  </si>
  <si>
    <t>Matic Liquid Detergent</t>
  </si>
  <si>
    <t>Gentle Wash Detergent Powder</t>
  </si>
  <si>
    <t>Stain Removal Detergent Powder</t>
  </si>
  <si>
    <t>Super Soak Detergent Powder</t>
  </si>
  <si>
    <t>Harpic</t>
  </si>
  <si>
    <t>Power Plus Toilet Cleaner</t>
  </si>
  <si>
    <t>Bathroom Cleaner Lemon</t>
  </si>
  <si>
    <t>Bathroom Cleaner Floral</t>
  </si>
  <si>
    <t>Flushmatic In-Cistern Block</t>
  </si>
  <si>
    <t>Hygienic Toilet Rim Block</t>
  </si>
  <si>
    <t>Power Fresh Toilet Cleaner</t>
  </si>
  <si>
    <t>White &amp; Shine Bleach</t>
  </si>
  <si>
    <t>Drain Cleaner</t>
  </si>
  <si>
    <t>Power Blue Toilet Cleaner</t>
  </si>
  <si>
    <t>Active Fresh Toilet Cleaner</t>
  </si>
  <si>
    <t>Dishwashing</t>
  </si>
  <si>
    <t>Vim</t>
  </si>
  <si>
    <t>Lemon Dishwash Bar 125g</t>
  </si>
  <si>
    <t>Lemon Dishwash Bar 250g</t>
  </si>
  <si>
    <t>Lemon Dishwash Liquid 500ml</t>
  </si>
  <si>
    <t>Lemon Dishwash Liquid 750ml</t>
  </si>
  <si>
    <t>Lemon Dishwash Gel 500ml</t>
  </si>
  <si>
    <t>Lemon Dishwash Gel 750ml</t>
  </si>
  <si>
    <t>Anti-Bacterial Dishwash Bar 125g</t>
  </si>
  <si>
    <t>Anti-Bacterial Dishwash Bar 250g</t>
  </si>
  <si>
    <t>Anti-Bacterial Dishwash Liquid 500ml</t>
  </si>
  <si>
    <t>Anti-Bacterial Dishwash Liquid 750ml</t>
  </si>
  <si>
    <t>Body Care</t>
  </si>
  <si>
    <t>Nivea</t>
  </si>
  <si>
    <t>Aloe Hydration Body Lotion</t>
  </si>
  <si>
    <t>Deodorants</t>
  </si>
  <si>
    <t>Men Fresh Active Deodorant</t>
  </si>
  <si>
    <t>Face Care</t>
  </si>
  <si>
    <t>Milk Delights Turmeric Facewash</t>
  </si>
  <si>
    <t>Men Active Clean Shower Gel</t>
  </si>
  <si>
    <t>Fresh Powerfruit Shower Gel</t>
  </si>
  <si>
    <t>Creme</t>
  </si>
  <si>
    <t>Lip Care</t>
  </si>
  <si>
    <t>Original Care Lip Balm</t>
  </si>
  <si>
    <t>Soft Light Moisturizer</t>
  </si>
  <si>
    <t>Pearl &amp; Beauty Deodorant</t>
  </si>
  <si>
    <t>Cocoa Nourish Body Lotion</t>
  </si>
  <si>
    <t>Hair Care</t>
  </si>
  <si>
    <t>Dove</t>
  </si>
  <si>
    <t>Daily Shine Shampoo</t>
  </si>
  <si>
    <t>Cream Beauty Bathing Soap</t>
  </si>
  <si>
    <t>Intense Repair Conditioner</t>
  </si>
  <si>
    <t>Deep Moisture Body Wash</t>
  </si>
  <si>
    <t>Original Antiperspirant</t>
  </si>
  <si>
    <t>Hair Fall Rescue Shampoo</t>
  </si>
  <si>
    <t>Exfoliating Body Polish</t>
  </si>
  <si>
    <t>Beauty Moisture Face Wash</t>
  </si>
  <si>
    <t>Oxygen Moisture Shampoo</t>
  </si>
  <si>
    <t>Sensitive Skin Body Wash</t>
  </si>
  <si>
    <t>Dairy</t>
  </si>
  <si>
    <t>Amul</t>
  </si>
  <si>
    <t>Butter Unsalted 100g</t>
  </si>
  <si>
    <t>Cheese Slices 200g</t>
  </si>
  <si>
    <t>Fresh Cream 250ml</t>
  </si>
  <si>
    <t>Paneer 200g</t>
  </si>
  <si>
    <t>Ghee 500ml</t>
  </si>
  <si>
    <t>Beverages</t>
  </si>
  <si>
    <t>Kool Milkshake Chocolate 180ml</t>
  </si>
  <si>
    <t>Kool Milkshake Kesar 180ml</t>
  </si>
  <si>
    <t>Mithai Mate 400g</t>
  </si>
  <si>
    <t>Ice Cream Vanilla 1L</t>
  </si>
  <si>
    <t>Dahi 500g</t>
  </si>
  <si>
    <t>Mother Dairy</t>
  </si>
  <si>
    <t>Pure Cow Ghee 1L</t>
  </si>
  <si>
    <t>Toned Milk 1L</t>
  </si>
  <si>
    <t>Full Cream Milk 1L</t>
  </si>
  <si>
    <t>Butter 100g</t>
  </si>
  <si>
    <t>Mishti Doi 90g</t>
  </si>
  <si>
    <t>Lassi 200ml</t>
  </si>
  <si>
    <t>Probiotic Dahi 400g</t>
  </si>
  <si>
    <t>Nestlé</t>
  </si>
  <si>
    <t>Milkmaid (380g)</t>
  </si>
  <si>
    <t>Nescafé Classic (200g)</t>
  </si>
  <si>
    <t>Culinary</t>
  </si>
  <si>
    <t>Maggi Noodles (70g)</t>
  </si>
  <si>
    <t>Confectionery</t>
  </si>
  <si>
    <t>KitKat (37.3g)</t>
  </si>
  <si>
    <t>Breakfast Cereals</t>
  </si>
  <si>
    <t>Nesquik (500g)</t>
  </si>
  <si>
    <t>Frozen Desserts</t>
  </si>
  <si>
    <t>Kwality Walls</t>
  </si>
  <si>
    <t>Shameless Vanilla (700ml)</t>
  </si>
  <si>
    <t>Cornetto Double Chocolate</t>
  </si>
  <si>
    <t>Magnum Classic (80ml)</t>
  </si>
  <si>
    <t>Feast Choco Bar (90ml)</t>
  </si>
  <si>
    <t>Trixy Orange (60ml)</t>
  </si>
  <si>
    <t>Biscuits</t>
  </si>
  <si>
    <t>Britannia</t>
  </si>
  <si>
    <t>Good Day Cashew Cookies (200g)</t>
  </si>
  <si>
    <t>Cheese Slices (200g)</t>
  </si>
  <si>
    <t>Bakery</t>
  </si>
  <si>
    <t>Fruit Cake (250g)</t>
  </si>
  <si>
    <t>NutriChoice Digestive (250g)</t>
  </si>
  <si>
    <t>Bread</t>
  </si>
  <si>
    <t>Whole Wheat Bread (400g)</t>
  </si>
  <si>
    <t>Vadilal</t>
  </si>
  <si>
    <t>Ice Cream Tub (1L)</t>
  </si>
  <si>
    <t>Mango Dolly (60ml)</t>
  </si>
  <si>
    <t>Kesar Pista Kulfi (90ml)</t>
  </si>
  <si>
    <t>Choco Bar (90ml)</t>
  </si>
  <si>
    <t>Rajbhog Ice Cream (500ml)</t>
  </si>
  <si>
    <t>Hatsun</t>
  </si>
  <si>
    <t>Arokya Milk (1L)</t>
  </si>
  <si>
    <t>Hatsun Curd (500g)</t>
  </si>
  <si>
    <t>Hatsun Paneer (200g)</t>
  </si>
  <si>
    <t>Hatsun Butter (100g)</t>
  </si>
  <si>
    <t>Hatsun Ghee (500ml)</t>
  </si>
  <si>
    <t>Grocery</t>
  </si>
  <si>
    <t>DMart</t>
  </si>
  <si>
    <t>Basmati Rice (1kg)</t>
  </si>
  <si>
    <t>Daily Essentials</t>
  </si>
  <si>
    <t>Detergent Powder (1kg)</t>
  </si>
  <si>
    <t>Home &amp; Kitchen</t>
  </si>
  <si>
    <t>Stainless Steel Kettle</t>
  </si>
  <si>
    <t>Personal Care</t>
  </si>
  <si>
    <t>Hand Wash (500ml)</t>
  </si>
  <si>
    <t>Packaged Foods</t>
  </si>
  <si>
    <t>Instant Noodles (70g)</t>
  </si>
  <si>
    <t>Toor Dal (1kg)</t>
  </si>
  <si>
    <t>Floor Cleaner (1L)</t>
  </si>
  <si>
    <t>Non-Stick Fry Pan</t>
  </si>
  <si>
    <t>Shampoo (200ml)</t>
  </si>
  <si>
    <t>Tomato Ketchup (500g)</t>
  </si>
  <si>
    <t>Chana Dal (1kg)</t>
  </si>
  <si>
    <t>Dishwashing Liquid (500ml)</t>
  </si>
  <si>
    <t>Plastic Storage Containers (Set of 3)</t>
  </si>
  <si>
    <t>Body Lotion (400ml)</t>
  </si>
  <si>
    <t>Peanut Butter (500g)</t>
  </si>
  <si>
    <t>DMart Minimax</t>
  </si>
  <si>
    <t>DMart Premia</t>
  </si>
  <si>
    <t>Emli (200g)</t>
  </si>
  <si>
    <t>Flavoured Dry Fruits Celebration Pack (400g)</t>
  </si>
  <si>
    <t>Premium Detergent Powder (1kg)</t>
  </si>
  <si>
    <t>Premium Stainless Steel Kettle</t>
  </si>
  <si>
    <t>Premium Hand Wash (500ml)</t>
  </si>
  <si>
    <t>D Homes</t>
  </si>
  <si>
    <t>Stainless Steel Vacuum Flask (1000ml)</t>
  </si>
  <si>
    <t>Rechargeable LED Lantern (KN9854 LA)</t>
  </si>
  <si>
    <t>Non-Stick Cookware Set (3 pcs)</t>
  </si>
  <si>
    <t>Plastic Storage Box (Set of 5)</t>
  </si>
  <si>
    <t>Electric Kettle (1.5L)</t>
  </si>
  <si>
    <t>Dutch Harbour</t>
  </si>
  <si>
    <t>Ceramic Dinner Set (16 pcs)</t>
  </si>
  <si>
    <t>Glass Storage Jars (Set of 3)</t>
  </si>
  <si>
    <t>Stainless Steel Cutlery Set (24 pcs)</t>
  </si>
  <si>
    <t>Non-Stick Fry Pan (28cm)</t>
  </si>
  <si>
    <t>Electric Rice Cooker (1.8L)</t>
  </si>
  <si>
    <t>Pantene</t>
  </si>
  <si>
    <t>Pro-V Hair Fall Control Shampoo (180ml)</t>
  </si>
  <si>
    <t>Pro-V Daily Moisture Renewal Shampoo (340ml)</t>
  </si>
  <si>
    <t>Pro-V Total Damage Care Conditioner (180ml)</t>
  </si>
  <si>
    <t>Pro-V Silky Smooth Care Shampoo (340ml)</t>
  </si>
  <si>
    <t>Pro-V Oil Replacement (180ml)</t>
  </si>
  <si>
    <t>Gillette</t>
  </si>
  <si>
    <t>Mach3 Razor (1 Handle + 2 Cartridges)</t>
  </si>
  <si>
    <t>Fusion5 Razor (1 Handle + 2 Cartridges)</t>
  </si>
  <si>
    <t>ProGlide Razor (1 Handle + 1 Cartridge)</t>
  </si>
  <si>
    <t>Shaving Foam (200g)</t>
  </si>
  <si>
    <t>After Shave Splash (100ml)</t>
  </si>
  <si>
    <t>Bombay Dyeing</t>
  </si>
  <si>
    <t>Cotton King Size Bed Sheet</t>
  </si>
  <si>
    <t>Floral Fantasy Bed Sheet</t>
  </si>
  <si>
    <t>Luxury Bath Towel</t>
  </si>
  <si>
    <t>Soft All Season Blanket</t>
  </si>
  <si>
    <t>Mini Blanket</t>
  </si>
  <si>
    <t>Welspun</t>
  </si>
  <si>
    <t>Hand Towel (450 GSM, Nile Blue)</t>
  </si>
  <si>
    <t>Bath Towel (500 GSM, White)</t>
  </si>
  <si>
    <t>Cotton Bedsheet (Double, Floral)</t>
  </si>
  <si>
    <t>Comforter (Single, Microfiber)</t>
  </si>
  <si>
    <t>Pillow (Set of 2, Hypoallergenic)</t>
  </si>
  <si>
    <t>Spaces</t>
  </si>
  <si>
    <t>Hygro Cotton Bath Towel</t>
  </si>
  <si>
    <t>Microfiber Comforter (Single)</t>
  </si>
  <si>
    <t>Pillow Covers (Set of 2)</t>
  </si>
  <si>
    <t>Reversible Dohar (Single)</t>
  </si>
  <si>
    <t>Portico</t>
  </si>
  <si>
    <t>Raymond Home</t>
  </si>
  <si>
    <t>Solid Single Blanket (270 GSM)</t>
  </si>
  <si>
    <t>Home Appliances</t>
  </si>
  <si>
    <t>Philips</t>
  </si>
  <si>
    <t>Stellar Bright T-Bulb (18W)</t>
  </si>
  <si>
    <t>Mixer Grinder (750W)</t>
  </si>
  <si>
    <t>Hair Dryer (HP8100/46)</t>
  </si>
  <si>
    <t>Beard Trimmer (BT3102/15)</t>
  </si>
  <si>
    <t>Induction Cooktop (HD4928/01)</t>
  </si>
  <si>
    <t>LED Bulb (9W)</t>
  </si>
  <si>
    <t>Steam Iron (GC1905)</t>
  </si>
  <si>
    <t>Hair Straightener (HP8302/00)</t>
  </si>
  <si>
    <t>Air Fryer (HD9218/51)</t>
  </si>
  <si>
    <t>Electric Toothbrush (HX3214/01)</t>
  </si>
  <si>
    <t>Bajaj</t>
  </si>
  <si>
    <t>Deluxe Sandwich Toaster (SWX 3)</t>
  </si>
  <si>
    <t>Majesty DX 7 Dry Iron</t>
  </si>
  <si>
    <t>Platini PX 97 Torque Air Cooler</t>
  </si>
  <si>
    <t>Popular Plus 750W Mixer Grinder</t>
  </si>
  <si>
    <t>Flashy 1000W Room Heater</t>
  </si>
  <si>
    <t>Majesty 1603 TSS Oven Toaster Grill</t>
  </si>
  <si>
    <t>GX 1 Mixer Grinder (500W)</t>
  </si>
  <si>
    <t>Immersion Rod Water Heater</t>
  </si>
  <si>
    <t>LED Bulb (12W)</t>
  </si>
  <si>
    <t>Majesty ICX 7 Induction Cooktop</t>
  </si>
  <si>
    <t>Samsung</t>
  </si>
  <si>
    <t>32" LED TV (UA32T4010ARXXL)</t>
  </si>
  <si>
    <t>253L 3 Star Inverter Frost Free Double Door Refrigerator (RT28T3483S8/HL)</t>
  </si>
  <si>
    <t>6.5 kg Fully-Automatic Top Loading Washing Machine (WA65A4002VS/TL)</t>
  </si>
  <si>
    <t>1.5 Ton 3 Star Inverter Split AC (AR18TY3QBBU)</t>
  </si>
  <si>
    <t>23 L Solo Microwave Oven (MS23J5133AG/TL)</t>
  </si>
  <si>
    <t>43" Smart LED TV (UA43T5350AKXXL)</t>
  </si>
  <si>
    <t>324L 3 Star Inverter Frost Free Double Door Refrigerator (RT34T4513S8/HL)</t>
  </si>
  <si>
    <t>7 kg Fully-Automatic Front Loading Washing Machine (WW70T4020CX/TL)</t>
  </si>
  <si>
    <t>2 Ton 3 Star Inverter Split AC (AR24TY3QBBU)</t>
  </si>
  <si>
    <t>28 L Convection Microwave Oven (MC28H5033CK/TL)</t>
  </si>
  <si>
    <t>LG</t>
  </si>
  <si>
    <t>32" LED TV (32LM560BPTC)</t>
  </si>
  <si>
    <t>260L 3 Star Frost Free Double Door Refrigerator (GL-I292RPZL)</t>
  </si>
  <si>
    <t>6.5 kg Fully-Automatic Top Loading Washing Machine (T65SKSF4Z)</t>
  </si>
  <si>
    <t>1.5 Ton 3 Star Inverter Split AC (LS-Q18YNZA)</t>
  </si>
  <si>
    <t>28 L Convection Microwave Oven (MC2846BG)</t>
  </si>
  <si>
    <t>43" Smart LED TV (43LM5600PTC)</t>
  </si>
  <si>
    <t>335L 3 Star Frost Free Double Door Refrigerator (GL-T372JPZN)</t>
  </si>
  <si>
    <t>7 kg Fully-Automatic Front Loading Washing Machine (FHT1207ZWL)</t>
  </si>
  <si>
    <t>2 Ton 3 Star Inverter Split AC (LS-Q24HNXA)</t>
  </si>
  <si>
    <t>32 L Convection Microwave Oven (MC3286BRUM)</t>
  </si>
  <si>
    <t>Whirlpool</t>
  </si>
  <si>
    <t>1.5 Ton 3 Star Inverter Split AC (MAGICOOL PRO 3S COPR)</t>
  </si>
  <si>
    <t>265L 3 Star Frost Free Double Door Refrigerator (NEO DF278 PRM 3S)</t>
  </si>
  <si>
    <t>7 kg Fully-Automatic Top Loading Washing Machine (WHITEMAGIC ELITE 7.0)</t>
  </si>
  <si>
    <t>20 L Solo Microwave Oven (MAGICOOK PRO 20SE)</t>
  </si>
  <si>
    <t>1.8L Electric Kettle (WK18)</t>
  </si>
  <si>
    <t>340L 3 Star Frost Free Double Door Refrigerator (IF INV CNV 355 ELT)</t>
  </si>
  <si>
    <t>8 kg Fully-Automatic Front Loading Washing Machine (FreshCare 8212)</t>
  </si>
  <si>
    <t>30 L Convection Microwave Oven (MAGICOOK PRO 30CE)</t>
  </si>
  <si>
    <t>2 Ton 3 Star Inverter Split AC (MAGICOOL PRO 3S COPR)</t>
  </si>
  <si>
    <t>1.5L Electric Kettle (WK15)</t>
  </si>
  <si>
    <t>Bosch</t>
  </si>
  <si>
    <t>Bosch 7 kg Fully Automatic Washing Machine</t>
  </si>
  <si>
    <t>Power Tools</t>
  </si>
  <si>
    <t>Bosch GSB 500W 500 RE Tool Kit</t>
  </si>
  <si>
    <t>Kitchen Appliances</t>
  </si>
  <si>
    <t>Bosch 800W Hand Blender</t>
  </si>
  <si>
    <t>Bosch 28L Convection Microwave Oven</t>
  </si>
  <si>
    <t>Bosch Professional Angle Grinder</t>
  </si>
  <si>
    <t>Panasonic</t>
  </si>
  <si>
    <t>Panasonic 6 kg Fully Automatic Washing Machine</t>
  </si>
  <si>
    <t>Panasonic 23L Convection Microwave Oven</t>
  </si>
  <si>
    <t>Panasonic 1000W Hair Dryer</t>
  </si>
  <si>
    <t>Panasonic 1.5 Ton 5 Star Inverter Split AC</t>
  </si>
  <si>
    <t>Panasonic 40W Bluetooth Soundbar</t>
  </si>
  <si>
    <t>Tableware</t>
  </si>
  <si>
    <t>La Opala</t>
  </si>
  <si>
    <t>La Opala Jamaica Coffee Cup Set (6 Pieces)</t>
  </si>
  <si>
    <t>La Opala Aqua Spray Opalware Dinner Set (35 pcs)</t>
  </si>
  <si>
    <t>La Opala Diva Classique Dinner Set (27 pcs)</t>
  </si>
  <si>
    <t>La Opala Melody Tea Set (12 Pieces)</t>
  </si>
  <si>
    <t>La Opala Sovrana Pearl Dinner Set (18 pcs)</t>
  </si>
  <si>
    <t>Corelle</t>
  </si>
  <si>
    <t>Corelle Winter Frost White 12-Piece Dinnerware Set</t>
  </si>
  <si>
    <t>Corelle Country Cottage 12-Piece Dinnerware Set</t>
  </si>
  <si>
    <t>Corelle Splendor 12-Piece Dinnerware Set</t>
  </si>
  <si>
    <t>Corelle Indigo Speckle 18-Piece Dinnerware Set</t>
  </si>
  <si>
    <t>Corelle Portofino 18-Piece Dinnerware Set</t>
  </si>
  <si>
    <t>Kitchenware</t>
  </si>
  <si>
    <t>Borosil</t>
  </si>
  <si>
    <t>Borosil Radius Glass - 295 ml (6 Pieces)</t>
  </si>
  <si>
    <t>Borosil Glass Mixing Bowl Set (3 Pieces)</t>
  </si>
  <si>
    <t>Borosil Vision Glass Set (6 Pieces)</t>
  </si>
  <si>
    <t>Borosil Prima 30L OTG</t>
  </si>
  <si>
    <t>Borosil Glass Lunch Box Set (3 Pieces)</t>
  </si>
  <si>
    <t>Stationery</t>
  </si>
  <si>
    <t>Cello</t>
  </si>
  <si>
    <t>Cello Finegrip Blue Pen (Jar of 25)</t>
  </si>
  <si>
    <t>Cello Checkers Plastic Storage Container Set (18 Pieces)</t>
  </si>
  <si>
    <t>Cello H2O Unbreakable Bottle (1 Litre, Set of 3)</t>
  </si>
  <si>
    <t>Cello Non-Stick Cookware Set (5 Pieces)</t>
  </si>
  <si>
    <t>Cello Opalware Dinner Set (33 Pieces)</t>
  </si>
  <si>
    <t>Milton</t>
  </si>
  <si>
    <t>Milton Shine 1000 Stainless Steel Water Bottle (900 ml)</t>
  </si>
  <si>
    <t>Milton Thermosteel Flask (500 ml)</t>
  </si>
  <si>
    <t>Milton Executive Lunch Box (4 Containers)</t>
  </si>
  <si>
    <t>Milton Thermoware Casserole (1500 ml)</t>
  </si>
  <si>
    <t>Milton Kool Rover Insulated Water Jug (5 Litres)</t>
  </si>
  <si>
    <t>Footwear</t>
  </si>
  <si>
    <t>Relaxo</t>
  </si>
  <si>
    <t>Relaxo Flite Men's Slipper PUG028G - Tan</t>
  </si>
  <si>
    <t>Relaxo Flite Men's Sandal PUG20 - Black</t>
  </si>
  <si>
    <t>Relaxo Sparx Men's Sports Shoes</t>
  </si>
  <si>
    <t>Relaxo Bahamas Women's Flip Flops</t>
  </si>
  <si>
    <t>Relaxo Sparx Women's Casual Shoes</t>
  </si>
  <si>
    <t>Liberty</t>
  </si>
  <si>
    <t>Liberty Men's Loafers</t>
  </si>
  <si>
    <t>Liberty Women's Heels</t>
  </si>
  <si>
    <t>Liberty Men's Casual Shoes</t>
  </si>
  <si>
    <t>Liberty Women's Flip Flops</t>
  </si>
  <si>
    <t>Liberty Kids' Sneakers</t>
  </si>
  <si>
    <t>Liberty Men's Formal Shoes</t>
  </si>
  <si>
    <t>Liberty Women's Sandals</t>
  </si>
  <si>
    <t>Liberty Kids' School Shoes</t>
  </si>
  <si>
    <t>Liberty Men's Sports Shoes</t>
  </si>
  <si>
    <t>Liberty Women's Ballerinas</t>
  </si>
  <si>
    <t>Bata</t>
  </si>
  <si>
    <t>Bata Women's Heels</t>
  </si>
  <si>
    <t>Bata Men's Loafers</t>
  </si>
  <si>
    <t>Bata Women's Flip Flops</t>
  </si>
  <si>
    <t>Bata Men's Sandals</t>
  </si>
  <si>
    <t>Bata Kids' Sneakers</t>
  </si>
  <si>
    <t>Bata Men's Formal Shoes</t>
  </si>
  <si>
    <t>Bata Women's Sandals</t>
  </si>
  <si>
    <t>Bata Kids' School Shoes</t>
  </si>
  <si>
    <t>Bata Men's Sports Shoes</t>
  </si>
  <si>
    <t>Bata Women's Ballerinas</t>
  </si>
  <si>
    <t>Plastic Containers</t>
  </si>
  <si>
    <t>Joyo</t>
  </si>
  <si>
    <t>Joyo Kitchen Storewell Container</t>
  </si>
  <si>
    <t>Joyo Fresherware Container with Box</t>
  </si>
  <si>
    <t>Joyo Storage Container Set</t>
  </si>
  <si>
    <t>Signoraware</t>
  </si>
  <si>
    <t>Modular Oval No.3 Container - Blue</t>
  </si>
  <si>
    <t>Classic Round Container - Red</t>
  </si>
  <si>
    <t>Square Lunch Box - Green</t>
  </si>
  <si>
    <t>Freshness Keeper - Yellow</t>
  </si>
  <si>
    <t>Kid's Apparel</t>
  </si>
  <si>
    <t>Gini &amp; Jony</t>
  </si>
  <si>
    <t>Boys' Printed T-Shirt - Blue</t>
  </si>
  <si>
    <t>Girls' Floral Dress - Pink</t>
  </si>
  <si>
    <t>Boys' Denim Shorts - Black</t>
  </si>
  <si>
    <t>Girls' Casual Top - Yellow</t>
  </si>
  <si>
    <t>Lilliput</t>
  </si>
  <si>
    <t>Boys' Striped T-Shirt - Green</t>
  </si>
  <si>
    <t>Girls' Party Dress - Red</t>
  </si>
  <si>
    <t>Boys' Cargo Pants - Brown</t>
  </si>
  <si>
    <t>Girls' Summer Top - White</t>
  </si>
  <si>
    <t>Chicco</t>
  </si>
  <si>
    <t>Baby Romper - Blue</t>
  </si>
  <si>
    <t>Toddler T-Shirt - Yellow</t>
  </si>
  <si>
    <t>Infant Bodysuit - Pink</t>
  </si>
  <si>
    <t>Baby Pants - Green</t>
  </si>
  <si>
    <t>Mothercare</t>
  </si>
  <si>
    <t>Baby Sleepsuit - White</t>
  </si>
  <si>
    <t>Toddler Dress - Pink</t>
  </si>
  <si>
    <t>Infant Hoodie - Grey</t>
  </si>
  <si>
    <t>Baby Leggings - Blue</t>
  </si>
  <si>
    <t>UCB Kids</t>
  </si>
  <si>
    <t>Boys' Polo T-Shirt - Red</t>
  </si>
  <si>
    <t>Girls' Skater Dress - Blue</t>
  </si>
  <si>
    <t>Boys' Jogger Pants - Grey</t>
  </si>
  <si>
    <t>Girls' Printed Top - Yellow</t>
  </si>
  <si>
    <t>Women's Apparel</t>
  </si>
  <si>
    <t>Biba</t>
  </si>
  <si>
    <t>Printed Anarkali Kurta - Red</t>
  </si>
  <si>
    <t>Embroidered Kurti - Blue</t>
  </si>
  <si>
    <t>Cotton Palazzo Pants - White</t>
  </si>
  <si>
    <t>Floral Print Dupatta - Pink</t>
  </si>
  <si>
    <t>W</t>
  </si>
  <si>
    <t>Printed Kurta - Green</t>
  </si>
  <si>
    <t>Embellished Tunic - Black</t>
  </si>
  <si>
    <t>Cotton Palazzo - Beige</t>
  </si>
  <si>
    <t>Floral Print Scarf - Orange</t>
  </si>
  <si>
    <t>Global Desi</t>
  </si>
  <si>
    <t>Printed Kurta - Orange</t>
  </si>
  <si>
    <t>Embroidered Tunic - White</t>
  </si>
  <si>
    <t>Cotton Palazzo - Black</t>
  </si>
  <si>
    <t>Floral Print Scarf - Red</t>
  </si>
  <si>
    <t>Fabindia</t>
  </si>
  <si>
    <t>Handwoven Cotton Kurta - Blue</t>
  </si>
  <si>
    <t>Block Print Skirt - Red</t>
  </si>
  <si>
    <t>Embroidered Dupatta - White</t>
  </si>
  <si>
    <t>Silk Blend Saree - Green</t>
  </si>
  <si>
    <t>Aurelia</t>
  </si>
  <si>
    <t>Pink Printed Straight Kurta</t>
  </si>
  <si>
    <t>Blue Printed Straight Kurta with Palazzo &amp; Dupatta Set</t>
  </si>
  <si>
    <t>Yellow Floral Printed Kurta, Trousers and Dupatta Set</t>
  </si>
  <si>
    <t>Geometric Printed A-line Viscose Dress</t>
  </si>
  <si>
    <t>Men's Apparel</t>
  </si>
  <si>
    <t>Peter England</t>
  </si>
  <si>
    <t>Formal Shirt - White</t>
  </si>
  <si>
    <t>Casual Trousers - Beige</t>
  </si>
  <si>
    <t>Polo T-Shirt - Navy Blue</t>
  </si>
  <si>
    <t>Blazer - Black</t>
  </si>
  <si>
    <t>Van Heusen</t>
  </si>
  <si>
    <t>Formal Shirt - Light Blue</t>
  </si>
  <si>
    <t>Casual Trousers - Grey</t>
  </si>
  <si>
    <t>Polo T-Shirt - Maroon</t>
  </si>
  <si>
    <t>Blazer - Navy Blue</t>
  </si>
  <si>
    <t>Allen Solly</t>
  </si>
  <si>
    <t>Formal Shirt - Light Pink</t>
  </si>
  <si>
    <t>Casual Trousers - Olive Green</t>
  </si>
  <si>
    <t>Polo T-Shirt - White</t>
  </si>
  <si>
    <t>Blazer - Charcoal Grey</t>
  </si>
  <si>
    <t>Louis Philippe</t>
  </si>
  <si>
    <t>Casual Trousers - Navy Blue</t>
  </si>
  <si>
    <t>Polo T-Shirt - Black</t>
  </si>
  <si>
    <t>Blazer - Grey</t>
  </si>
  <si>
    <t>Park Avenue</t>
  </si>
  <si>
    <t>Casual Trousers - Khaki</t>
  </si>
  <si>
    <t>Blazer - Dark Grey</t>
  </si>
  <si>
    <t>Fruits &amp; Vegetables</t>
  </si>
  <si>
    <t>Fresho</t>
  </si>
  <si>
    <t>Fresh Apples - 1 kg</t>
  </si>
  <si>
    <t>Organic Bananas - 1 kg</t>
  </si>
  <si>
    <t>Fresh Tomatoes - 1 kg</t>
  </si>
  <si>
    <t>Baby Spinach - 250 g</t>
  </si>
  <si>
    <t>Fresh Oranges - 1 kg</t>
  </si>
  <si>
    <t>Organic Carrots - 1 kg</t>
  </si>
  <si>
    <t>Fresh Cucumbers - 1 kg</t>
  </si>
  <si>
    <t>Fresh Spinach - 500 g</t>
  </si>
  <si>
    <t>Reliance Fresh</t>
  </si>
  <si>
    <t>Fresh Mangoes - 1 kg</t>
  </si>
  <si>
    <t>Organic Spinach - 500 g</t>
  </si>
  <si>
    <t>Fresh Bell Peppers - 1 kg</t>
  </si>
  <si>
    <t>Fresh Strawberries - 250 g</t>
  </si>
  <si>
    <t>BigBasket</t>
  </si>
  <si>
    <t>Fresh Pomegranates - 1 kg</t>
  </si>
  <si>
    <t>Fresh Onions - 2 kg</t>
  </si>
  <si>
    <t>Fresh Carrots - 500 g</t>
  </si>
  <si>
    <t>Fresh Potatoes - 1 kg</t>
  </si>
  <si>
    <t>Nature's Basket</t>
  </si>
  <si>
    <t>Fresh Avocados - 1 kg</t>
  </si>
  <si>
    <t>Organic Kale - 250 g</t>
  </si>
  <si>
    <t>Fresh Blueberries - 125 g</t>
  </si>
  <si>
    <t>Fresh Broccoli - 500 g</t>
  </si>
  <si>
    <t>Fresh Raspberries - 125 g</t>
  </si>
  <si>
    <t>Organic Zucchini - 500 g</t>
  </si>
  <si>
    <t>Fresh Asparagus - 250 g</t>
  </si>
  <si>
    <t>Fresh Cherry Tomatoes - 250 g</t>
  </si>
  <si>
    <t>Farm Fresh</t>
  </si>
  <si>
    <t>Flours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</si>
</sst>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_GPS_Activity\2024_2025\March\Power%20BI\Sprint%201\Dataset\Practice\ShoplyMart.xlsx" TargetMode="External"/><Relationship Id="rId1" Type="http://schemas.openxmlformats.org/officeDocument/2006/relationships/externalLinkPath" Target="ShoplyMa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mers"/>
      <sheetName val="Location"/>
      <sheetName val="Stores"/>
      <sheetName val="Category"/>
      <sheetName val="Order_Details"/>
      <sheetName val="Orders"/>
      <sheetName val="Products"/>
      <sheetName val="Bra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>
            <v>1</v>
          </cell>
          <cell r="B2">
            <v>1</v>
          </cell>
        </row>
        <row r="3">
          <cell r="A3">
            <v>2</v>
          </cell>
          <cell r="B3">
            <v>1</v>
          </cell>
        </row>
        <row r="4">
          <cell r="A4">
            <v>3</v>
          </cell>
          <cell r="B4">
            <v>1</v>
          </cell>
        </row>
        <row r="5">
          <cell r="A5">
            <v>4</v>
          </cell>
          <cell r="B5">
            <v>1</v>
          </cell>
        </row>
        <row r="6">
          <cell r="A6">
            <v>5</v>
          </cell>
          <cell r="B6">
            <v>1</v>
          </cell>
        </row>
        <row r="7">
          <cell r="A7">
            <v>6</v>
          </cell>
          <cell r="B7">
            <v>1</v>
          </cell>
        </row>
        <row r="8">
          <cell r="A8">
            <v>7</v>
          </cell>
          <cell r="B8">
            <v>1</v>
          </cell>
        </row>
        <row r="9">
          <cell r="A9">
            <v>8</v>
          </cell>
          <cell r="B9">
            <v>1</v>
          </cell>
        </row>
        <row r="10">
          <cell r="A10">
            <v>9</v>
          </cell>
          <cell r="B10">
            <v>2</v>
          </cell>
        </row>
        <row r="11">
          <cell r="A11">
            <v>10</v>
          </cell>
          <cell r="B11">
            <v>2</v>
          </cell>
        </row>
        <row r="12">
          <cell r="A12">
            <v>11</v>
          </cell>
          <cell r="B12">
            <v>2</v>
          </cell>
        </row>
        <row r="13">
          <cell r="A13">
            <v>12</v>
          </cell>
          <cell r="B13">
            <v>2</v>
          </cell>
        </row>
        <row r="14">
          <cell r="A14">
            <v>13</v>
          </cell>
          <cell r="B14">
            <v>2</v>
          </cell>
        </row>
        <row r="15">
          <cell r="A15">
            <v>14</v>
          </cell>
          <cell r="B15">
            <v>2</v>
          </cell>
        </row>
        <row r="16">
          <cell r="A16">
            <v>15</v>
          </cell>
          <cell r="B16">
            <v>2</v>
          </cell>
        </row>
        <row r="17">
          <cell r="A17">
            <v>16</v>
          </cell>
          <cell r="B17">
            <v>2</v>
          </cell>
        </row>
        <row r="18">
          <cell r="A18">
            <v>17</v>
          </cell>
          <cell r="B18">
            <v>3</v>
          </cell>
        </row>
        <row r="19">
          <cell r="A19">
            <v>18</v>
          </cell>
          <cell r="B19">
            <v>3</v>
          </cell>
        </row>
        <row r="20">
          <cell r="A20">
            <v>19</v>
          </cell>
          <cell r="B20">
            <v>3</v>
          </cell>
        </row>
        <row r="21">
          <cell r="A21">
            <v>20</v>
          </cell>
          <cell r="B21">
            <v>3</v>
          </cell>
        </row>
        <row r="22">
          <cell r="A22">
            <v>21</v>
          </cell>
          <cell r="B22">
            <v>3</v>
          </cell>
        </row>
        <row r="23">
          <cell r="A23">
            <v>22</v>
          </cell>
          <cell r="B23">
            <v>3</v>
          </cell>
        </row>
        <row r="24">
          <cell r="A24">
            <v>23</v>
          </cell>
          <cell r="B24">
            <v>3</v>
          </cell>
        </row>
        <row r="25">
          <cell r="A25">
            <v>24</v>
          </cell>
          <cell r="B25">
            <v>4</v>
          </cell>
        </row>
        <row r="26">
          <cell r="A26">
            <v>25</v>
          </cell>
          <cell r="B26">
            <v>4</v>
          </cell>
        </row>
        <row r="27">
          <cell r="A27">
            <v>26</v>
          </cell>
          <cell r="B27">
            <v>4</v>
          </cell>
        </row>
        <row r="28">
          <cell r="A28">
            <v>27</v>
          </cell>
          <cell r="B28">
            <v>4</v>
          </cell>
        </row>
        <row r="29">
          <cell r="A29">
            <v>28</v>
          </cell>
          <cell r="B29">
            <v>4</v>
          </cell>
        </row>
        <row r="30">
          <cell r="A30">
            <v>29</v>
          </cell>
          <cell r="B30">
            <v>5</v>
          </cell>
        </row>
        <row r="31">
          <cell r="A31">
            <v>30</v>
          </cell>
          <cell r="B31">
            <v>5</v>
          </cell>
        </row>
        <row r="32">
          <cell r="A32">
            <v>31</v>
          </cell>
          <cell r="B32">
            <v>6</v>
          </cell>
        </row>
        <row r="33">
          <cell r="A33">
            <v>32</v>
          </cell>
          <cell r="B33">
            <v>6</v>
          </cell>
        </row>
        <row r="34">
          <cell r="A34">
            <v>33</v>
          </cell>
          <cell r="B34">
            <v>6</v>
          </cell>
        </row>
        <row r="35">
          <cell r="A35">
            <v>34</v>
          </cell>
          <cell r="B35">
            <v>6</v>
          </cell>
        </row>
        <row r="36">
          <cell r="A36">
            <v>35</v>
          </cell>
          <cell r="B36">
            <v>6</v>
          </cell>
        </row>
        <row r="37">
          <cell r="A37">
            <v>36</v>
          </cell>
          <cell r="B37">
            <v>7</v>
          </cell>
        </row>
        <row r="38">
          <cell r="A38">
            <v>37</v>
          </cell>
          <cell r="B38">
            <v>7</v>
          </cell>
        </row>
        <row r="39">
          <cell r="A39">
            <v>38</v>
          </cell>
          <cell r="B39">
            <v>7</v>
          </cell>
        </row>
        <row r="40">
          <cell r="A40">
            <v>39</v>
          </cell>
          <cell r="B40">
            <v>7</v>
          </cell>
        </row>
        <row r="41">
          <cell r="A41">
            <v>40</v>
          </cell>
          <cell r="B41">
            <v>7</v>
          </cell>
        </row>
        <row r="42">
          <cell r="A42">
            <v>41</v>
          </cell>
          <cell r="B42">
            <v>7</v>
          </cell>
        </row>
        <row r="43">
          <cell r="A43">
            <v>42</v>
          </cell>
          <cell r="B43">
            <v>7</v>
          </cell>
        </row>
        <row r="44">
          <cell r="A44">
            <v>43</v>
          </cell>
          <cell r="B44">
            <v>8</v>
          </cell>
        </row>
        <row r="45">
          <cell r="A45">
            <v>44</v>
          </cell>
          <cell r="B45">
            <v>8</v>
          </cell>
        </row>
        <row r="46">
          <cell r="A46">
            <v>45</v>
          </cell>
          <cell r="B46">
            <v>8</v>
          </cell>
        </row>
        <row r="47">
          <cell r="A47">
            <v>46</v>
          </cell>
          <cell r="B47">
            <v>8</v>
          </cell>
        </row>
        <row r="48">
          <cell r="A48">
            <v>47</v>
          </cell>
          <cell r="B48">
            <v>8</v>
          </cell>
        </row>
        <row r="49">
          <cell r="A49">
            <v>48</v>
          </cell>
          <cell r="B49">
            <v>9</v>
          </cell>
        </row>
        <row r="50">
          <cell r="A50">
            <v>49</v>
          </cell>
          <cell r="B50">
            <v>9</v>
          </cell>
        </row>
        <row r="51">
          <cell r="A51">
            <v>50</v>
          </cell>
          <cell r="B51">
            <v>9</v>
          </cell>
        </row>
        <row r="52">
          <cell r="A52">
            <v>51</v>
          </cell>
          <cell r="B52">
            <v>9</v>
          </cell>
        </row>
        <row r="53">
          <cell r="A53">
            <v>52</v>
          </cell>
          <cell r="B53">
            <v>9</v>
          </cell>
        </row>
        <row r="54">
          <cell r="A54">
            <v>53</v>
          </cell>
          <cell r="B54">
            <v>10</v>
          </cell>
        </row>
        <row r="55">
          <cell r="A55">
            <v>54</v>
          </cell>
          <cell r="B55">
            <v>10</v>
          </cell>
        </row>
        <row r="56">
          <cell r="A56">
            <v>55</v>
          </cell>
          <cell r="B56">
            <v>10</v>
          </cell>
        </row>
        <row r="57">
          <cell r="A57">
            <v>56</v>
          </cell>
          <cell r="B57">
            <v>10</v>
          </cell>
        </row>
        <row r="58">
          <cell r="A58">
            <v>57</v>
          </cell>
          <cell r="B58">
            <v>10</v>
          </cell>
        </row>
        <row r="59">
          <cell r="A59">
            <v>58</v>
          </cell>
          <cell r="B59">
            <v>11</v>
          </cell>
        </row>
        <row r="60">
          <cell r="A60">
            <v>59</v>
          </cell>
          <cell r="B60">
            <v>11</v>
          </cell>
        </row>
        <row r="61">
          <cell r="A61">
            <v>60</v>
          </cell>
          <cell r="B61">
            <v>11</v>
          </cell>
        </row>
        <row r="62">
          <cell r="A62">
            <v>61</v>
          </cell>
          <cell r="B62">
            <v>11</v>
          </cell>
        </row>
        <row r="63">
          <cell r="A63">
            <v>62</v>
          </cell>
          <cell r="B63">
            <v>11</v>
          </cell>
        </row>
        <row r="64">
          <cell r="A64">
            <v>63</v>
          </cell>
          <cell r="B64">
            <v>12</v>
          </cell>
        </row>
        <row r="65">
          <cell r="A65">
            <v>64</v>
          </cell>
          <cell r="B65">
            <v>12</v>
          </cell>
        </row>
        <row r="66">
          <cell r="A66">
            <v>65</v>
          </cell>
          <cell r="B66">
            <v>12</v>
          </cell>
        </row>
        <row r="67">
          <cell r="A67">
            <v>66</v>
          </cell>
          <cell r="B67">
            <v>12</v>
          </cell>
        </row>
        <row r="68">
          <cell r="A68">
            <v>67</v>
          </cell>
          <cell r="B68">
            <v>12</v>
          </cell>
        </row>
        <row r="69">
          <cell r="A69">
            <v>68</v>
          </cell>
          <cell r="B69">
            <v>13</v>
          </cell>
        </row>
        <row r="70">
          <cell r="A70">
            <v>69</v>
          </cell>
          <cell r="B70">
            <v>13</v>
          </cell>
        </row>
        <row r="71">
          <cell r="A71">
            <v>70</v>
          </cell>
          <cell r="B71">
            <v>13</v>
          </cell>
        </row>
        <row r="72">
          <cell r="A72">
            <v>71</v>
          </cell>
          <cell r="B72">
            <v>13</v>
          </cell>
        </row>
        <row r="73">
          <cell r="A73">
            <v>72</v>
          </cell>
          <cell r="B73">
            <v>13</v>
          </cell>
        </row>
        <row r="74">
          <cell r="A74">
            <v>73</v>
          </cell>
          <cell r="B74">
            <v>14</v>
          </cell>
        </row>
        <row r="75">
          <cell r="A75">
            <v>74</v>
          </cell>
          <cell r="B75">
            <v>14</v>
          </cell>
        </row>
        <row r="76">
          <cell r="A76">
            <v>75</v>
          </cell>
          <cell r="B76">
            <v>14</v>
          </cell>
        </row>
        <row r="77">
          <cell r="A77">
            <v>76</v>
          </cell>
          <cell r="B77">
            <v>14</v>
          </cell>
        </row>
        <row r="78">
          <cell r="A78">
            <v>77</v>
          </cell>
          <cell r="B78">
            <v>14</v>
          </cell>
        </row>
        <row r="79">
          <cell r="A79">
            <v>78</v>
          </cell>
          <cell r="B79">
            <v>15</v>
          </cell>
        </row>
        <row r="80">
          <cell r="A80">
            <v>79</v>
          </cell>
          <cell r="B80">
            <v>15</v>
          </cell>
        </row>
        <row r="81">
          <cell r="A81">
            <v>80</v>
          </cell>
          <cell r="B81">
            <v>15</v>
          </cell>
        </row>
        <row r="82">
          <cell r="A82">
            <v>81</v>
          </cell>
          <cell r="B82">
            <v>15</v>
          </cell>
        </row>
        <row r="83">
          <cell r="A83">
            <v>82</v>
          </cell>
          <cell r="B83">
            <v>15</v>
          </cell>
        </row>
        <row r="84">
          <cell r="A84">
            <v>83</v>
          </cell>
          <cell r="B84">
            <v>16</v>
          </cell>
        </row>
        <row r="85">
          <cell r="A85">
            <v>84</v>
          </cell>
          <cell r="B85">
            <v>16</v>
          </cell>
        </row>
        <row r="86">
          <cell r="A86">
            <v>85</v>
          </cell>
          <cell r="B86">
            <v>16</v>
          </cell>
        </row>
        <row r="87">
          <cell r="A87">
            <v>86</v>
          </cell>
          <cell r="B87">
            <v>16</v>
          </cell>
        </row>
        <row r="88">
          <cell r="A88">
            <v>87</v>
          </cell>
          <cell r="B88">
            <v>16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6E5F2-2969-4A6E-A6B2-778026D9F780}">
  <dimension ref="A1:H500"/>
  <sheetViews>
    <sheetView tabSelected="1" workbookViewId="0">
      <selection activeCell="K7" sqref="K7"/>
    </sheetView>
  </sheetViews>
  <sheetFormatPr defaultRowHeight="14.4" x14ac:dyDescent="0.3"/>
  <cols>
    <col min="4" max="4" width="16.44140625" bestFit="1" customWidth="1"/>
    <col min="6" max="6" width="26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f>_xlfn.XLOOKUP(C2,[1]Brand!$A$2:$A$88,[1]Brand!$B$2:$B$88)</f>
        <v>1</v>
      </c>
      <c r="C2">
        <v>1</v>
      </c>
      <c r="D2" t="s">
        <v>8</v>
      </c>
      <c r="E2" t="s">
        <v>9</v>
      </c>
      <c r="F2" t="s">
        <v>10</v>
      </c>
      <c r="G2">
        <v>120</v>
      </c>
      <c r="H2">
        <v>50</v>
      </c>
    </row>
    <row r="3" spans="1:8" x14ac:dyDescent="0.3">
      <c r="A3">
        <v>2</v>
      </c>
      <c r="B3">
        <f>_xlfn.XLOOKUP(C3,[1]Brand!$A$2:$A$88,[1]Brand!$B$2:$B$88)</f>
        <v>1</v>
      </c>
      <c r="C3">
        <v>1</v>
      </c>
      <c r="D3" t="s">
        <v>11</v>
      </c>
      <c r="E3" t="s">
        <v>9</v>
      </c>
      <c r="F3" t="s">
        <v>12</v>
      </c>
      <c r="G3">
        <v>50</v>
      </c>
      <c r="H3">
        <v>100</v>
      </c>
    </row>
    <row r="4" spans="1:8" x14ac:dyDescent="0.3">
      <c r="A4">
        <v>3</v>
      </c>
      <c r="B4">
        <f>_xlfn.XLOOKUP(C4,[1]Brand!$A$2:$A$88,[1]Brand!$B$2:$B$88)</f>
        <v>1</v>
      </c>
      <c r="C4">
        <v>1</v>
      </c>
      <c r="D4" t="s">
        <v>8</v>
      </c>
      <c r="E4" t="s">
        <v>9</v>
      </c>
      <c r="F4" t="s">
        <v>13</v>
      </c>
      <c r="G4">
        <v>110</v>
      </c>
      <c r="H4">
        <v>75</v>
      </c>
    </row>
    <row r="5" spans="1:8" x14ac:dyDescent="0.3">
      <c r="A5">
        <v>4</v>
      </c>
      <c r="B5">
        <f>_xlfn.XLOOKUP(C5,[1]Brand!$A$2:$A$88,[1]Brand!$B$2:$B$88)</f>
        <v>1</v>
      </c>
      <c r="C5">
        <v>1</v>
      </c>
      <c r="D5" t="s">
        <v>11</v>
      </c>
      <c r="E5" t="s">
        <v>9</v>
      </c>
      <c r="F5" t="s">
        <v>14</v>
      </c>
      <c r="G5">
        <v>60</v>
      </c>
      <c r="H5">
        <v>80</v>
      </c>
    </row>
    <row r="6" spans="1:8" x14ac:dyDescent="0.3">
      <c r="A6">
        <v>5</v>
      </c>
      <c r="B6">
        <f>_xlfn.XLOOKUP(C6,[1]Brand!$A$2:$A$88,[1]Brand!$B$2:$B$88)</f>
        <v>1</v>
      </c>
      <c r="C6">
        <v>1</v>
      </c>
      <c r="D6" t="s">
        <v>8</v>
      </c>
      <c r="E6" t="s">
        <v>9</v>
      </c>
      <c r="F6" t="s">
        <v>15</v>
      </c>
      <c r="G6">
        <v>90</v>
      </c>
      <c r="H6">
        <v>60</v>
      </c>
    </row>
    <row r="7" spans="1:8" x14ac:dyDescent="0.3">
      <c r="A7">
        <v>6</v>
      </c>
      <c r="B7">
        <f>_xlfn.XLOOKUP(C7,[1]Brand!$A$2:$A$88,[1]Brand!$B$2:$B$88)</f>
        <v>1</v>
      </c>
      <c r="C7">
        <v>1</v>
      </c>
      <c r="D7" t="s">
        <v>11</v>
      </c>
      <c r="E7" t="s">
        <v>9</v>
      </c>
      <c r="F7" t="s">
        <v>16</v>
      </c>
      <c r="G7">
        <v>55</v>
      </c>
      <c r="H7">
        <v>90</v>
      </c>
    </row>
    <row r="8" spans="1:8" x14ac:dyDescent="0.3">
      <c r="A8">
        <v>7</v>
      </c>
      <c r="B8">
        <f>_xlfn.XLOOKUP(C8,[1]Brand!$A$2:$A$88,[1]Brand!$B$2:$B$88)</f>
        <v>1</v>
      </c>
      <c r="C8">
        <v>1</v>
      </c>
      <c r="D8" t="s">
        <v>8</v>
      </c>
      <c r="E8" t="s">
        <v>9</v>
      </c>
      <c r="F8" t="s">
        <v>17</v>
      </c>
      <c r="G8">
        <v>130</v>
      </c>
      <c r="H8">
        <v>40</v>
      </c>
    </row>
    <row r="9" spans="1:8" x14ac:dyDescent="0.3">
      <c r="A9">
        <v>8</v>
      </c>
      <c r="B9">
        <f>_xlfn.XLOOKUP(C9,[1]Brand!$A$2:$A$88,[1]Brand!$B$2:$B$88)</f>
        <v>1</v>
      </c>
      <c r="C9">
        <v>1</v>
      </c>
      <c r="D9" t="s">
        <v>11</v>
      </c>
      <c r="E9" t="s">
        <v>9</v>
      </c>
      <c r="F9" t="s">
        <v>18</v>
      </c>
      <c r="G9">
        <v>70</v>
      </c>
      <c r="H9">
        <v>70</v>
      </c>
    </row>
    <row r="10" spans="1:8" x14ac:dyDescent="0.3">
      <c r="A10">
        <v>9</v>
      </c>
      <c r="B10">
        <f>_xlfn.XLOOKUP(C10,[1]Brand!$A$2:$A$88,[1]Brand!$B$2:$B$88)</f>
        <v>1</v>
      </c>
      <c r="C10">
        <v>1</v>
      </c>
      <c r="D10" t="s">
        <v>8</v>
      </c>
      <c r="E10" t="s">
        <v>9</v>
      </c>
      <c r="F10" t="s">
        <v>19</v>
      </c>
      <c r="G10">
        <v>100</v>
      </c>
      <c r="H10">
        <v>65</v>
      </c>
    </row>
    <row r="11" spans="1:8" x14ac:dyDescent="0.3">
      <c r="A11">
        <v>10</v>
      </c>
      <c r="B11">
        <f>_xlfn.XLOOKUP(C11,[1]Brand!$A$2:$A$88,[1]Brand!$B$2:$B$88)</f>
        <v>1</v>
      </c>
      <c r="C11">
        <v>1</v>
      </c>
      <c r="D11" t="s">
        <v>11</v>
      </c>
      <c r="E11" t="s">
        <v>9</v>
      </c>
      <c r="F11" t="s">
        <v>20</v>
      </c>
      <c r="G11">
        <v>65</v>
      </c>
      <c r="H11">
        <v>85</v>
      </c>
    </row>
    <row r="12" spans="1:8" x14ac:dyDescent="0.3">
      <c r="A12">
        <v>11</v>
      </c>
      <c r="B12">
        <f>_xlfn.XLOOKUP(C12,[1]Brand!$A$2:$A$88,[1]Brand!$B$2:$B$88)</f>
        <v>1</v>
      </c>
      <c r="C12">
        <v>2</v>
      </c>
      <c r="D12" t="s">
        <v>584</v>
      </c>
      <c r="E12" t="s">
        <v>22</v>
      </c>
      <c r="F12" t="s">
        <v>23</v>
      </c>
      <c r="G12">
        <v>200</v>
      </c>
      <c r="H12">
        <v>100</v>
      </c>
    </row>
    <row r="13" spans="1:8" x14ac:dyDescent="0.3">
      <c r="A13">
        <v>12</v>
      </c>
      <c r="B13">
        <f>_xlfn.XLOOKUP(C13,[1]Brand!$A$2:$A$88,[1]Brand!$B$2:$B$88)</f>
        <v>1</v>
      </c>
      <c r="C13">
        <v>2</v>
      </c>
      <c r="D13" t="s">
        <v>11</v>
      </c>
      <c r="E13" t="s">
        <v>22</v>
      </c>
      <c r="F13" t="s">
        <v>12</v>
      </c>
      <c r="G13">
        <v>60</v>
      </c>
      <c r="H13">
        <v>80</v>
      </c>
    </row>
    <row r="14" spans="1:8" x14ac:dyDescent="0.3">
      <c r="A14">
        <v>13</v>
      </c>
      <c r="B14">
        <f>_xlfn.XLOOKUP(C14,[1]Brand!$A$2:$A$88,[1]Brand!$B$2:$B$88)</f>
        <v>1</v>
      </c>
      <c r="C14">
        <v>2</v>
      </c>
      <c r="D14" t="s">
        <v>21</v>
      </c>
      <c r="E14" t="s">
        <v>22</v>
      </c>
      <c r="F14" t="s">
        <v>24</v>
      </c>
      <c r="G14">
        <v>250</v>
      </c>
      <c r="H14">
        <v>70</v>
      </c>
    </row>
    <row r="15" spans="1:8" x14ac:dyDescent="0.3">
      <c r="A15">
        <v>14</v>
      </c>
      <c r="B15">
        <f>_xlfn.XLOOKUP(C15,[1]Brand!$A$2:$A$88,[1]Brand!$B$2:$B$88)</f>
        <v>1</v>
      </c>
      <c r="C15">
        <v>2</v>
      </c>
      <c r="D15" t="s">
        <v>11</v>
      </c>
      <c r="E15" t="s">
        <v>22</v>
      </c>
      <c r="F15" t="s">
        <v>14</v>
      </c>
      <c r="G15">
        <v>70</v>
      </c>
      <c r="H15">
        <v>90</v>
      </c>
    </row>
    <row r="16" spans="1:8" x14ac:dyDescent="0.3">
      <c r="A16">
        <v>15</v>
      </c>
      <c r="B16">
        <f>_xlfn.XLOOKUP(C16,[1]Brand!$A$2:$A$88,[1]Brand!$B$2:$B$88)</f>
        <v>1</v>
      </c>
      <c r="C16">
        <v>2</v>
      </c>
      <c r="D16" t="s">
        <v>21</v>
      </c>
      <c r="E16" t="s">
        <v>22</v>
      </c>
      <c r="F16" t="s">
        <v>25</v>
      </c>
      <c r="G16">
        <v>220</v>
      </c>
    </row>
    <row r="17" spans="1:8" x14ac:dyDescent="0.3">
      <c r="A17">
        <v>16</v>
      </c>
      <c r="B17">
        <f>_xlfn.XLOOKUP(C17,[1]Brand!$A$2:$A$88,[1]Brand!$B$2:$B$88)</f>
        <v>1</v>
      </c>
      <c r="C17">
        <v>2</v>
      </c>
      <c r="D17" t="s">
        <v>11</v>
      </c>
      <c r="E17" t="s">
        <v>22</v>
      </c>
      <c r="F17" t="s">
        <v>16</v>
      </c>
      <c r="G17">
        <v>65</v>
      </c>
      <c r="H17">
        <v>85</v>
      </c>
    </row>
    <row r="18" spans="1:8" x14ac:dyDescent="0.3">
      <c r="A18">
        <v>17</v>
      </c>
      <c r="B18">
        <f>_xlfn.XLOOKUP(C18,[1]Brand!$A$2:$A$88,[1]Brand!$B$2:$B$88)</f>
        <v>1</v>
      </c>
      <c r="C18">
        <v>2</v>
      </c>
      <c r="D18" t="s">
        <v>21</v>
      </c>
      <c r="E18" t="s">
        <v>22</v>
      </c>
      <c r="F18" t="s">
        <v>26</v>
      </c>
      <c r="G18">
        <v>240</v>
      </c>
      <c r="H18">
        <v>60</v>
      </c>
    </row>
    <row r="19" spans="1:8" x14ac:dyDescent="0.3">
      <c r="A19">
        <v>18</v>
      </c>
      <c r="B19">
        <f>_xlfn.XLOOKUP(C19,[1]Brand!$A$2:$A$88,[1]Brand!$B$2:$B$88)</f>
        <v>1</v>
      </c>
      <c r="C19">
        <v>2</v>
      </c>
      <c r="D19" t="s">
        <v>11</v>
      </c>
      <c r="E19" t="s">
        <v>22</v>
      </c>
      <c r="F19" t="s">
        <v>18</v>
      </c>
      <c r="G19">
        <v>75</v>
      </c>
      <c r="H19">
        <v>75</v>
      </c>
    </row>
    <row r="20" spans="1:8" x14ac:dyDescent="0.3">
      <c r="A20">
        <v>19</v>
      </c>
      <c r="B20">
        <f>_xlfn.XLOOKUP(C20,[1]Brand!$A$2:$A$88,[1]Brand!$B$2:$B$88)</f>
        <v>1</v>
      </c>
      <c r="C20">
        <v>2</v>
      </c>
      <c r="D20" t="s">
        <v>584</v>
      </c>
      <c r="E20" t="s">
        <v>22</v>
      </c>
      <c r="F20" t="s">
        <v>27</v>
      </c>
      <c r="G20">
        <v>300</v>
      </c>
      <c r="H20">
        <v>40</v>
      </c>
    </row>
    <row r="21" spans="1:8" x14ac:dyDescent="0.3">
      <c r="A21">
        <v>20</v>
      </c>
      <c r="B21">
        <f>_xlfn.XLOOKUP(C21,[1]Brand!$A$2:$A$88,[1]Brand!$B$2:$B$88)</f>
        <v>1</v>
      </c>
      <c r="C21">
        <v>2</v>
      </c>
      <c r="D21" t="s">
        <v>11</v>
      </c>
      <c r="E21" t="s">
        <v>22</v>
      </c>
      <c r="F21" t="s">
        <v>20</v>
      </c>
      <c r="G21">
        <v>70</v>
      </c>
      <c r="H21">
        <v>95</v>
      </c>
    </row>
    <row r="22" spans="1:8" x14ac:dyDescent="0.3">
      <c r="A22">
        <v>21</v>
      </c>
      <c r="B22">
        <f>_xlfn.XLOOKUP(C22,[1]Brand!$A$2:$A$88,[1]Brand!$B$2:$B$88)</f>
        <v>1</v>
      </c>
      <c r="C22">
        <v>2</v>
      </c>
      <c r="D22" t="s">
        <v>28</v>
      </c>
      <c r="E22" t="s">
        <v>22</v>
      </c>
      <c r="F22" t="s">
        <v>29</v>
      </c>
      <c r="G22">
        <v>20</v>
      </c>
      <c r="H22">
        <v>150</v>
      </c>
    </row>
    <row r="23" spans="1:8" x14ac:dyDescent="0.3">
      <c r="A23">
        <v>22</v>
      </c>
      <c r="B23">
        <f>_xlfn.XLOOKUP(C23,[1]Brand!$A$2:$A$88,[1]Brand!$B$2:$B$88)</f>
        <v>1</v>
      </c>
      <c r="C23">
        <v>2</v>
      </c>
      <c r="D23" t="s">
        <v>11</v>
      </c>
      <c r="E23" t="s">
        <v>22</v>
      </c>
      <c r="F23" t="s">
        <v>30</v>
      </c>
      <c r="G23">
        <v>80</v>
      </c>
      <c r="H23">
        <v>60</v>
      </c>
    </row>
    <row r="24" spans="1:8" x14ac:dyDescent="0.3">
      <c r="A24">
        <v>23</v>
      </c>
      <c r="B24">
        <f>_xlfn.XLOOKUP(C24,[1]Brand!$A$2:$A$88,[1]Brand!$B$2:$B$88)</f>
        <v>1</v>
      </c>
      <c r="C24">
        <v>2</v>
      </c>
      <c r="D24" t="s">
        <v>21</v>
      </c>
      <c r="E24" t="s">
        <v>22</v>
      </c>
      <c r="F24" t="s">
        <v>31</v>
      </c>
      <c r="G24">
        <v>180</v>
      </c>
      <c r="H24">
        <v>55</v>
      </c>
    </row>
    <row r="25" spans="1:8" x14ac:dyDescent="0.3">
      <c r="A25">
        <v>24</v>
      </c>
      <c r="B25">
        <f>_xlfn.XLOOKUP(C25,[1]Brand!$A$2:$A$88,[1]Brand!$B$2:$B$88)</f>
        <v>1</v>
      </c>
      <c r="C25">
        <v>2</v>
      </c>
      <c r="D25" t="s">
        <v>11</v>
      </c>
      <c r="E25" t="s">
        <v>22</v>
      </c>
      <c r="F25" t="s">
        <v>32</v>
      </c>
      <c r="G25">
        <v>85</v>
      </c>
      <c r="H25">
        <v>70</v>
      </c>
    </row>
    <row r="26" spans="1:8" x14ac:dyDescent="0.3">
      <c r="A26">
        <v>25</v>
      </c>
      <c r="B26">
        <f>_xlfn.XLOOKUP(C26,[1]Brand!$A$2:$A$88,[1]Brand!$B$2:$B$88)</f>
        <v>1</v>
      </c>
      <c r="C26">
        <v>2</v>
      </c>
      <c r="D26" t="s">
        <v>21</v>
      </c>
      <c r="E26" t="s">
        <v>22</v>
      </c>
      <c r="F26" t="s">
        <v>33</v>
      </c>
      <c r="G26">
        <v>90</v>
      </c>
      <c r="H26">
        <v>100</v>
      </c>
    </row>
    <row r="27" spans="1:8" x14ac:dyDescent="0.3">
      <c r="A27">
        <v>26</v>
      </c>
      <c r="B27">
        <f>_xlfn.XLOOKUP(C27,[1]Brand!$A$2:$A$88,[1]Brand!$B$2:$B$88)</f>
        <v>1</v>
      </c>
      <c r="C27">
        <v>3</v>
      </c>
      <c r="D27" t="s">
        <v>34</v>
      </c>
      <c r="E27" t="s">
        <v>35</v>
      </c>
      <c r="F27" t="s">
        <v>36</v>
      </c>
      <c r="G27">
        <v>150</v>
      </c>
      <c r="H27">
        <v>120</v>
      </c>
    </row>
    <row r="28" spans="1:8" x14ac:dyDescent="0.3">
      <c r="A28">
        <v>27</v>
      </c>
      <c r="B28">
        <f>_xlfn.XLOOKUP(C28,[1]Brand!$A$2:$A$88,[1]Brand!$B$2:$B$88)</f>
        <v>1</v>
      </c>
      <c r="C28">
        <v>3</v>
      </c>
      <c r="D28" t="s">
        <v>34</v>
      </c>
      <c r="E28" t="s">
        <v>35</v>
      </c>
      <c r="F28" t="s">
        <v>37</v>
      </c>
      <c r="G28">
        <v>140</v>
      </c>
      <c r="H28">
        <v>100</v>
      </c>
    </row>
    <row r="29" spans="1:8" x14ac:dyDescent="0.3">
      <c r="A29">
        <v>28</v>
      </c>
      <c r="B29">
        <f>_xlfn.XLOOKUP(C29,[1]Brand!$A$2:$A$88,[1]Brand!$B$2:$B$88)</f>
        <v>1</v>
      </c>
      <c r="C29">
        <v>3</v>
      </c>
      <c r="D29" t="s">
        <v>34</v>
      </c>
      <c r="E29" t="s">
        <v>35</v>
      </c>
      <c r="F29" t="s">
        <v>38</v>
      </c>
      <c r="G29">
        <v>130</v>
      </c>
      <c r="H29">
        <v>110</v>
      </c>
    </row>
    <row r="30" spans="1:8" x14ac:dyDescent="0.3">
      <c r="A30">
        <v>29</v>
      </c>
      <c r="B30">
        <f>_xlfn.XLOOKUP(C30,[1]Brand!$A$2:$A$88,[1]Brand!$B$2:$B$88)</f>
        <v>1</v>
      </c>
      <c r="C30">
        <v>3</v>
      </c>
      <c r="D30" t="s">
        <v>34</v>
      </c>
      <c r="E30" t="s">
        <v>35</v>
      </c>
      <c r="F30" t="s">
        <v>39</v>
      </c>
      <c r="G30">
        <v>160</v>
      </c>
      <c r="H30">
        <v>90</v>
      </c>
    </row>
    <row r="31" spans="1:8" x14ac:dyDescent="0.3">
      <c r="A31">
        <v>30</v>
      </c>
      <c r="B31">
        <f>_xlfn.XLOOKUP(C31,[1]Brand!$A$2:$A$88,[1]Brand!$B$2:$B$88)</f>
        <v>1</v>
      </c>
      <c r="C31">
        <v>3</v>
      </c>
      <c r="D31" t="s">
        <v>34</v>
      </c>
      <c r="E31" t="s">
        <v>35</v>
      </c>
      <c r="F31" t="s">
        <v>40</v>
      </c>
      <c r="G31">
        <v>170</v>
      </c>
      <c r="H31">
        <v>80</v>
      </c>
    </row>
    <row r="32" spans="1:8" x14ac:dyDescent="0.3">
      <c r="A32">
        <v>31</v>
      </c>
      <c r="B32">
        <f>_xlfn.XLOOKUP(C32,[1]Brand!$A$2:$A$88,[1]Brand!$B$2:$B$88)</f>
        <v>1</v>
      </c>
      <c r="C32">
        <v>3</v>
      </c>
      <c r="D32" t="s">
        <v>584</v>
      </c>
      <c r="E32" t="s">
        <v>35</v>
      </c>
      <c r="F32" t="s">
        <v>41</v>
      </c>
      <c r="G32">
        <v>220</v>
      </c>
      <c r="H32">
        <v>70</v>
      </c>
    </row>
    <row r="33" spans="1:8" x14ac:dyDescent="0.3">
      <c r="A33">
        <v>32</v>
      </c>
      <c r="B33">
        <f>_xlfn.XLOOKUP(C33,[1]Brand!$A$2:$A$88,[1]Brand!$B$2:$B$88)</f>
        <v>1</v>
      </c>
      <c r="C33">
        <v>3</v>
      </c>
      <c r="D33" t="s">
        <v>42</v>
      </c>
      <c r="E33" t="s">
        <v>35</v>
      </c>
      <c r="F33" t="s">
        <v>43</v>
      </c>
      <c r="G33">
        <v>300</v>
      </c>
      <c r="H33">
        <v>60</v>
      </c>
    </row>
    <row r="34" spans="1:8" x14ac:dyDescent="0.3">
      <c r="A34">
        <v>33</v>
      </c>
      <c r="B34">
        <f>_xlfn.XLOOKUP(C34,[1]Brand!$A$2:$A$88,[1]Brand!$B$2:$B$88)</f>
        <v>1</v>
      </c>
      <c r="C34">
        <v>3</v>
      </c>
      <c r="D34" t="s">
        <v>42</v>
      </c>
      <c r="E34" t="s">
        <v>35</v>
      </c>
      <c r="F34" t="s">
        <v>44</v>
      </c>
      <c r="G34">
        <v>250</v>
      </c>
      <c r="H34">
        <v>75</v>
      </c>
    </row>
    <row r="35" spans="1:8" x14ac:dyDescent="0.3">
      <c r="A35">
        <v>34</v>
      </c>
      <c r="B35">
        <f>_xlfn.XLOOKUP(C35,[1]Brand!$A$2:$A$88,[1]Brand!$B$2:$B$88)</f>
        <v>1</v>
      </c>
      <c r="C35">
        <v>3</v>
      </c>
      <c r="D35" t="s">
        <v>8</v>
      </c>
      <c r="E35" t="s">
        <v>35</v>
      </c>
      <c r="F35" t="s">
        <v>45</v>
      </c>
      <c r="G35">
        <v>90</v>
      </c>
      <c r="H35">
        <v>100</v>
      </c>
    </row>
    <row r="36" spans="1:8" x14ac:dyDescent="0.3">
      <c r="A36">
        <v>35</v>
      </c>
      <c r="B36">
        <f>_xlfn.XLOOKUP(C36,[1]Brand!$A$2:$A$88,[1]Brand!$B$2:$B$88)</f>
        <v>1</v>
      </c>
      <c r="C36">
        <v>3</v>
      </c>
      <c r="D36" t="s">
        <v>8</v>
      </c>
      <c r="E36" t="s">
        <v>35</v>
      </c>
      <c r="F36" t="s">
        <v>46</v>
      </c>
      <c r="G36">
        <v>100</v>
      </c>
      <c r="H36">
        <v>85</v>
      </c>
    </row>
    <row r="37" spans="1:8" x14ac:dyDescent="0.3">
      <c r="A37">
        <v>36</v>
      </c>
      <c r="B37">
        <f>_xlfn.XLOOKUP(C37,[1]Brand!$A$2:$A$88,[1]Brand!$B$2:$B$88)</f>
        <v>1</v>
      </c>
      <c r="C37">
        <v>3</v>
      </c>
      <c r="D37" t="s">
        <v>34</v>
      </c>
      <c r="E37" t="s">
        <v>35</v>
      </c>
      <c r="F37" t="s">
        <v>47</v>
      </c>
      <c r="G37">
        <v>150</v>
      </c>
      <c r="H37">
        <v>95</v>
      </c>
    </row>
    <row r="38" spans="1:8" x14ac:dyDescent="0.3">
      <c r="A38">
        <v>37</v>
      </c>
      <c r="B38">
        <f>_xlfn.XLOOKUP(C38,[1]Brand!$A$2:$A$88,[1]Brand!$B$2:$B$88)</f>
        <v>1</v>
      </c>
      <c r="C38">
        <v>3</v>
      </c>
      <c r="D38" t="s">
        <v>34</v>
      </c>
      <c r="E38" t="s">
        <v>35</v>
      </c>
      <c r="F38" t="s">
        <v>48</v>
      </c>
      <c r="G38">
        <v>155</v>
      </c>
      <c r="H38">
        <v>90</v>
      </c>
    </row>
    <row r="39" spans="1:8" x14ac:dyDescent="0.3">
      <c r="A39">
        <v>38</v>
      </c>
      <c r="B39">
        <f>_xlfn.XLOOKUP(C39,[1]Brand!$A$2:$A$88,[1]Brand!$B$2:$B$88)</f>
        <v>1</v>
      </c>
      <c r="C39">
        <v>3</v>
      </c>
      <c r="D39" t="s">
        <v>21</v>
      </c>
      <c r="E39" t="s">
        <v>35</v>
      </c>
      <c r="F39" t="s">
        <v>33</v>
      </c>
      <c r="G39">
        <v>80</v>
      </c>
      <c r="H39">
        <v>110</v>
      </c>
    </row>
    <row r="40" spans="1:8" x14ac:dyDescent="0.3">
      <c r="A40">
        <v>39</v>
      </c>
      <c r="B40">
        <f>_xlfn.XLOOKUP(C40,[1]Brand!$A$2:$A$88,[1]Brand!$B$2:$B$88)</f>
        <v>1</v>
      </c>
      <c r="C40">
        <v>3</v>
      </c>
      <c r="D40" t="s">
        <v>42</v>
      </c>
      <c r="E40" t="s">
        <v>35</v>
      </c>
      <c r="F40" t="s">
        <v>49</v>
      </c>
      <c r="G40">
        <v>200</v>
      </c>
      <c r="H40">
        <v>65</v>
      </c>
    </row>
    <row r="41" spans="1:8" x14ac:dyDescent="0.3">
      <c r="A41">
        <v>40</v>
      </c>
      <c r="B41">
        <f>_xlfn.XLOOKUP(C41,[1]Brand!$A$2:$A$88,[1]Brand!$B$2:$B$88)</f>
        <v>1</v>
      </c>
      <c r="C41">
        <v>3</v>
      </c>
      <c r="D41" t="s">
        <v>8</v>
      </c>
      <c r="E41" t="s">
        <v>35</v>
      </c>
      <c r="F41" t="s">
        <v>50</v>
      </c>
      <c r="G41">
        <v>110</v>
      </c>
      <c r="H41">
        <v>70</v>
      </c>
    </row>
    <row r="42" spans="1:8" x14ac:dyDescent="0.3">
      <c r="A42">
        <v>41</v>
      </c>
      <c r="B42">
        <f>_xlfn.XLOOKUP(C42,[1]Brand!$A$2:$A$88,[1]Brand!$B$2:$B$88)</f>
        <v>1</v>
      </c>
      <c r="C42">
        <v>4</v>
      </c>
      <c r="D42" t="s">
        <v>42</v>
      </c>
      <c r="E42" t="s">
        <v>51</v>
      </c>
      <c r="F42" t="s">
        <v>52</v>
      </c>
      <c r="G42">
        <v>300</v>
      </c>
      <c r="H42">
        <v>50</v>
      </c>
    </row>
    <row r="43" spans="1:8" x14ac:dyDescent="0.3">
      <c r="A43">
        <v>42</v>
      </c>
      <c r="B43">
        <f>_xlfn.XLOOKUP(C43,[1]Brand!$A$2:$A$88,[1]Brand!$B$2:$B$88)</f>
        <v>1</v>
      </c>
      <c r="C43">
        <v>4</v>
      </c>
      <c r="D43" t="s">
        <v>42</v>
      </c>
      <c r="E43" t="s">
        <v>51</v>
      </c>
      <c r="F43" t="s">
        <v>53</v>
      </c>
      <c r="G43">
        <v>250</v>
      </c>
      <c r="H43">
        <v>60</v>
      </c>
    </row>
    <row r="44" spans="1:8" x14ac:dyDescent="0.3">
      <c r="A44">
        <v>43</v>
      </c>
      <c r="B44">
        <f>_xlfn.XLOOKUP(C44,[1]Brand!$A$2:$A$88,[1]Brand!$B$2:$B$88)</f>
        <v>1</v>
      </c>
      <c r="C44">
        <v>4</v>
      </c>
      <c r="D44" t="s">
        <v>42</v>
      </c>
      <c r="E44" t="s">
        <v>51</v>
      </c>
      <c r="F44" t="s">
        <v>54</v>
      </c>
      <c r="G44">
        <v>200</v>
      </c>
      <c r="H44">
        <v>70</v>
      </c>
    </row>
    <row r="45" spans="1:8" x14ac:dyDescent="0.3">
      <c r="A45">
        <v>44</v>
      </c>
      <c r="B45">
        <f>_xlfn.XLOOKUP(C45,[1]Brand!$A$2:$A$88,[1]Brand!$B$2:$B$88)</f>
        <v>1</v>
      </c>
      <c r="C45">
        <v>4</v>
      </c>
      <c r="D45" t="s">
        <v>42</v>
      </c>
      <c r="E45" t="s">
        <v>51</v>
      </c>
      <c r="F45" t="s">
        <v>55</v>
      </c>
      <c r="G45">
        <v>350</v>
      </c>
      <c r="H45">
        <v>40</v>
      </c>
    </row>
    <row r="46" spans="1:8" x14ac:dyDescent="0.3">
      <c r="A46">
        <v>45</v>
      </c>
      <c r="B46">
        <f>_xlfn.XLOOKUP(C46,[1]Brand!$A$2:$A$88,[1]Brand!$B$2:$B$88)</f>
        <v>1</v>
      </c>
      <c r="C46">
        <v>4</v>
      </c>
      <c r="D46" t="s">
        <v>42</v>
      </c>
      <c r="E46" t="s">
        <v>51</v>
      </c>
      <c r="F46" t="s">
        <v>56</v>
      </c>
      <c r="G46">
        <v>400</v>
      </c>
      <c r="H46">
        <v>30</v>
      </c>
    </row>
    <row r="47" spans="1:8" x14ac:dyDescent="0.3">
      <c r="A47">
        <v>46</v>
      </c>
      <c r="B47">
        <f>_xlfn.XLOOKUP(C47,[1]Brand!$A$2:$A$88,[1]Brand!$B$2:$B$88)</f>
        <v>1</v>
      </c>
      <c r="C47">
        <v>4</v>
      </c>
      <c r="D47" t="s">
        <v>42</v>
      </c>
      <c r="E47" t="s">
        <v>51</v>
      </c>
      <c r="F47" t="s">
        <v>57</v>
      </c>
      <c r="G47">
        <v>150</v>
      </c>
      <c r="H47">
        <v>80</v>
      </c>
    </row>
    <row r="48" spans="1:8" x14ac:dyDescent="0.3">
      <c r="A48">
        <v>47</v>
      </c>
      <c r="B48">
        <f>_xlfn.XLOOKUP(C48,[1]Brand!$A$2:$A$88,[1]Brand!$B$2:$B$88)</f>
        <v>1</v>
      </c>
      <c r="C48">
        <v>4</v>
      </c>
      <c r="D48" t="s">
        <v>42</v>
      </c>
      <c r="E48" t="s">
        <v>51</v>
      </c>
      <c r="F48" t="s">
        <v>58</v>
      </c>
      <c r="G48">
        <v>450</v>
      </c>
      <c r="H48">
        <v>25</v>
      </c>
    </row>
    <row r="49" spans="1:8" x14ac:dyDescent="0.3">
      <c r="A49">
        <v>48</v>
      </c>
      <c r="B49">
        <f>_xlfn.XLOOKUP(C49,[1]Brand!$A$2:$A$88,[1]Brand!$B$2:$B$88)</f>
        <v>1</v>
      </c>
      <c r="C49">
        <v>4</v>
      </c>
      <c r="D49" t="s">
        <v>42</v>
      </c>
      <c r="E49" t="s">
        <v>51</v>
      </c>
      <c r="F49" t="s">
        <v>59</v>
      </c>
      <c r="G49">
        <v>180</v>
      </c>
      <c r="H49">
        <v>90</v>
      </c>
    </row>
    <row r="50" spans="1:8" x14ac:dyDescent="0.3">
      <c r="A50">
        <v>49</v>
      </c>
      <c r="B50">
        <f>_xlfn.XLOOKUP(C50,[1]Brand!$A$2:$A$88,[1]Brand!$B$2:$B$88)</f>
        <v>1</v>
      </c>
      <c r="C50">
        <v>4</v>
      </c>
      <c r="D50" t="s">
        <v>42</v>
      </c>
      <c r="E50" t="s">
        <v>51</v>
      </c>
      <c r="F50" t="s">
        <v>60</v>
      </c>
      <c r="G50">
        <v>220</v>
      </c>
      <c r="H50">
        <v>65</v>
      </c>
    </row>
    <row r="51" spans="1:8" x14ac:dyDescent="0.3">
      <c r="A51">
        <v>50</v>
      </c>
      <c r="B51">
        <f>_xlfn.XLOOKUP(C51,[1]Brand!$A$2:$A$88,[1]Brand!$B$2:$B$88)</f>
        <v>1</v>
      </c>
      <c r="C51">
        <v>4</v>
      </c>
      <c r="D51" t="s">
        <v>42</v>
      </c>
      <c r="E51" t="s">
        <v>51</v>
      </c>
      <c r="F51" t="s">
        <v>61</v>
      </c>
      <c r="G51">
        <v>120</v>
      </c>
      <c r="H51">
        <v>100</v>
      </c>
    </row>
    <row r="52" spans="1:8" x14ac:dyDescent="0.3">
      <c r="A52">
        <v>51</v>
      </c>
      <c r="B52">
        <f>_xlfn.XLOOKUP(C52,[1]Brand!$A$2:$A$88,[1]Brand!$B$2:$B$88)</f>
        <v>1</v>
      </c>
      <c r="C52">
        <v>5</v>
      </c>
      <c r="D52" t="s">
        <v>42</v>
      </c>
      <c r="E52" t="s">
        <v>62</v>
      </c>
      <c r="F52" t="s">
        <v>53</v>
      </c>
      <c r="G52">
        <v>250</v>
      </c>
      <c r="H52">
        <v>80</v>
      </c>
    </row>
    <row r="53" spans="1:8" x14ac:dyDescent="0.3">
      <c r="A53">
        <v>52</v>
      </c>
      <c r="B53">
        <f>_xlfn.XLOOKUP(C53,[1]Brand!$A$2:$A$88,[1]Brand!$B$2:$B$88)</f>
        <v>1</v>
      </c>
      <c r="C53">
        <v>5</v>
      </c>
      <c r="D53" t="s">
        <v>42</v>
      </c>
      <c r="E53" t="s">
        <v>62</v>
      </c>
      <c r="F53" t="s">
        <v>63</v>
      </c>
      <c r="G53">
        <v>300</v>
      </c>
      <c r="H53">
        <v>60</v>
      </c>
    </row>
    <row r="54" spans="1:8" x14ac:dyDescent="0.3">
      <c r="A54">
        <v>53</v>
      </c>
      <c r="B54">
        <f>_xlfn.XLOOKUP(C54,[1]Brand!$A$2:$A$88,[1]Brand!$B$2:$B$88)</f>
        <v>1</v>
      </c>
      <c r="C54">
        <v>5</v>
      </c>
      <c r="D54" t="s">
        <v>42</v>
      </c>
      <c r="E54" t="s">
        <v>62</v>
      </c>
      <c r="F54" t="s">
        <v>64</v>
      </c>
      <c r="G54">
        <v>350</v>
      </c>
      <c r="H54">
        <v>50</v>
      </c>
    </row>
    <row r="55" spans="1:8" x14ac:dyDescent="0.3">
      <c r="A55">
        <v>54</v>
      </c>
      <c r="B55">
        <f>_xlfn.XLOOKUP(C55,[1]Brand!$A$2:$A$88,[1]Brand!$B$2:$B$88)</f>
        <v>1</v>
      </c>
      <c r="C55">
        <v>5</v>
      </c>
      <c r="D55" t="s">
        <v>42</v>
      </c>
      <c r="E55" t="s">
        <v>62</v>
      </c>
      <c r="F55" t="s">
        <v>59</v>
      </c>
      <c r="G55">
        <v>200</v>
      </c>
      <c r="H55">
        <v>70</v>
      </c>
    </row>
    <row r="56" spans="1:8" x14ac:dyDescent="0.3">
      <c r="A56">
        <v>55</v>
      </c>
      <c r="B56">
        <f>_xlfn.XLOOKUP(C56,[1]Brand!$A$2:$A$88,[1]Brand!$B$2:$B$88)</f>
        <v>1</v>
      </c>
      <c r="C56">
        <v>5</v>
      </c>
      <c r="D56" t="s">
        <v>42</v>
      </c>
      <c r="E56" t="s">
        <v>62</v>
      </c>
      <c r="F56" t="s">
        <v>65</v>
      </c>
      <c r="G56">
        <v>180</v>
      </c>
      <c r="H56">
        <v>90</v>
      </c>
    </row>
    <row r="57" spans="1:8" x14ac:dyDescent="0.3">
      <c r="A57">
        <v>56</v>
      </c>
      <c r="B57">
        <f>_xlfn.XLOOKUP(C57,[1]Brand!$A$2:$A$88,[1]Brand!$B$2:$B$88)</f>
        <v>1</v>
      </c>
      <c r="C57">
        <v>5</v>
      </c>
      <c r="D57" t="s">
        <v>42</v>
      </c>
      <c r="E57" t="s">
        <v>62</v>
      </c>
      <c r="F57" t="s">
        <v>66</v>
      </c>
      <c r="G57">
        <v>220</v>
      </c>
      <c r="H57">
        <v>65</v>
      </c>
    </row>
    <row r="58" spans="1:8" x14ac:dyDescent="0.3">
      <c r="A58">
        <v>57</v>
      </c>
      <c r="B58">
        <f>_xlfn.XLOOKUP(C58,[1]Brand!$A$2:$A$88,[1]Brand!$B$2:$B$88)</f>
        <v>1</v>
      </c>
      <c r="C58">
        <v>5</v>
      </c>
      <c r="D58" t="s">
        <v>42</v>
      </c>
      <c r="E58" t="s">
        <v>62</v>
      </c>
      <c r="F58" t="s">
        <v>67</v>
      </c>
      <c r="G58">
        <v>190</v>
      </c>
      <c r="H58">
        <v>75</v>
      </c>
    </row>
    <row r="59" spans="1:8" x14ac:dyDescent="0.3">
      <c r="A59">
        <v>58</v>
      </c>
      <c r="B59">
        <f>_xlfn.XLOOKUP(C59,[1]Brand!$A$2:$A$88,[1]Brand!$B$2:$B$88)</f>
        <v>1</v>
      </c>
      <c r="C59">
        <v>5</v>
      </c>
      <c r="D59" t="s">
        <v>42</v>
      </c>
      <c r="E59" t="s">
        <v>62</v>
      </c>
      <c r="F59" t="s">
        <v>68</v>
      </c>
      <c r="G59">
        <v>160</v>
      </c>
      <c r="H59">
        <v>85</v>
      </c>
    </row>
    <row r="60" spans="1:8" x14ac:dyDescent="0.3">
      <c r="A60">
        <v>59</v>
      </c>
      <c r="B60">
        <f>_xlfn.XLOOKUP(C60,[1]Brand!$A$2:$A$88,[1]Brand!$B$2:$B$88)</f>
        <v>1</v>
      </c>
      <c r="C60">
        <v>5</v>
      </c>
      <c r="D60" t="s">
        <v>42</v>
      </c>
      <c r="E60" t="s">
        <v>62</v>
      </c>
      <c r="F60" t="s">
        <v>69</v>
      </c>
      <c r="G60">
        <v>150</v>
      </c>
      <c r="H60">
        <v>100</v>
      </c>
    </row>
    <row r="61" spans="1:8" x14ac:dyDescent="0.3">
      <c r="A61">
        <v>60</v>
      </c>
      <c r="B61">
        <f>_xlfn.XLOOKUP(C61,[1]Brand!$A$2:$A$88,[1]Brand!$B$2:$B$88)</f>
        <v>1</v>
      </c>
      <c r="C61">
        <v>5</v>
      </c>
      <c r="D61" t="s">
        <v>42</v>
      </c>
      <c r="E61" t="s">
        <v>62</v>
      </c>
      <c r="F61" t="s">
        <v>70</v>
      </c>
      <c r="G61">
        <v>140</v>
      </c>
      <c r="H61">
        <v>95</v>
      </c>
    </row>
    <row r="62" spans="1:8" x14ac:dyDescent="0.3">
      <c r="A62">
        <v>61</v>
      </c>
      <c r="B62">
        <f>_xlfn.XLOOKUP(C62,[1]Brand!$A$2:$A$88,[1]Brand!$B$2:$B$88)</f>
        <v>1</v>
      </c>
      <c r="C62">
        <v>6</v>
      </c>
      <c r="D62" t="s">
        <v>34</v>
      </c>
      <c r="E62" t="s">
        <v>71</v>
      </c>
      <c r="F62" t="s">
        <v>72</v>
      </c>
      <c r="G62">
        <v>150</v>
      </c>
      <c r="H62">
        <v>120</v>
      </c>
    </row>
    <row r="63" spans="1:8" x14ac:dyDescent="0.3">
      <c r="A63">
        <v>62</v>
      </c>
      <c r="B63">
        <f>_xlfn.XLOOKUP(C63,[1]Brand!$A$2:$A$88,[1]Brand!$B$2:$B$88)</f>
        <v>1</v>
      </c>
      <c r="C63">
        <v>6</v>
      </c>
      <c r="D63" t="s">
        <v>34</v>
      </c>
      <c r="E63" t="s">
        <v>71</v>
      </c>
      <c r="F63" t="s">
        <v>73</v>
      </c>
      <c r="G63">
        <v>160</v>
      </c>
      <c r="H63">
        <v>100</v>
      </c>
    </row>
    <row r="64" spans="1:8" x14ac:dyDescent="0.3">
      <c r="A64">
        <v>63</v>
      </c>
      <c r="B64">
        <f>_xlfn.XLOOKUP(C64,[1]Brand!$A$2:$A$88,[1]Brand!$B$2:$B$88)</f>
        <v>1</v>
      </c>
      <c r="C64">
        <v>6</v>
      </c>
      <c r="D64" t="s">
        <v>34</v>
      </c>
      <c r="E64" t="s">
        <v>71</v>
      </c>
      <c r="F64" t="s">
        <v>74</v>
      </c>
      <c r="G64">
        <v>140</v>
      </c>
      <c r="H64">
        <v>110</v>
      </c>
    </row>
    <row r="65" spans="1:8" x14ac:dyDescent="0.3">
      <c r="A65">
        <v>64</v>
      </c>
      <c r="B65">
        <f>_xlfn.XLOOKUP(C65,[1]Brand!$A$2:$A$88,[1]Brand!$B$2:$B$88)</f>
        <v>1</v>
      </c>
      <c r="C65">
        <v>6</v>
      </c>
      <c r="D65" t="s">
        <v>34</v>
      </c>
      <c r="E65" t="s">
        <v>71</v>
      </c>
      <c r="F65" t="s">
        <v>75</v>
      </c>
      <c r="G65">
        <v>130</v>
      </c>
      <c r="H65">
        <v>90</v>
      </c>
    </row>
    <row r="66" spans="1:8" x14ac:dyDescent="0.3">
      <c r="A66">
        <v>65</v>
      </c>
      <c r="B66">
        <f>_xlfn.XLOOKUP(C66,[1]Brand!$A$2:$A$88,[1]Brand!$B$2:$B$88)</f>
        <v>1</v>
      </c>
      <c r="C66">
        <v>6</v>
      </c>
      <c r="D66" t="s">
        <v>76</v>
      </c>
      <c r="E66" t="s">
        <v>71</v>
      </c>
      <c r="F66" t="s">
        <v>77</v>
      </c>
      <c r="G66">
        <v>50</v>
      </c>
      <c r="H66">
        <v>150</v>
      </c>
    </row>
    <row r="67" spans="1:8" x14ac:dyDescent="0.3">
      <c r="A67">
        <v>66</v>
      </c>
      <c r="B67">
        <f>_xlfn.XLOOKUP(C67,[1]Brand!$A$2:$A$88,[1]Brand!$B$2:$B$88)</f>
        <v>1</v>
      </c>
      <c r="C67">
        <v>6</v>
      </c>
      <c r="D67" t="s">
        <v>76</v>
      </c>
      <c r="E67" t="s">
        <v>71</v>
      </c>
      <c r="F67" t="s">
        <v>78</v>
      </c>
      <c r="G67">
        <v>45</v>
      </c>
      <c r="H67">
        <v>140</v>
      </c>
    </row>
    <row r="68" spans="1:8" x14ac:dyDescent="0.3">
      <c r="A68">
        <v>67</v>
      </c>
      <c r="B68">
        <f>_xlfn.XLOOKUP(C68,[1]Brand!$A$2:$A$88,[1]Brand!$B$2:$B$88)</f>
        <v>1</v>
      </c>
      <c r="C68">
        <v>6</v>
      </c>
      <c r="D68" t="s">
        <v>79</v>
      </c>
      <c r="E68" t="s">
        <v>71</v>
      </c>
      <c r="F68" t="s">
        <v>80</v>
      </c>
      <c r="G68">
        <v>60</v>
      </c>
      <c r="H68">
        <v>130</v>
      </c>
    </row>
    <row r="69" spans="1:8" x14ac:dyDescent="0.3">
      <c r="A69">
        <v>68</v>
      </c>
      <c r="B69">
        <f>_xlfn.XLOOKUP(C69,[1]Brand!$A$2:$A$88,[1]Brand!$B$2:$B$88)</f>
        <v>1</v>
      </c>
      <c r="C69">
        <v>6</v>
      </c>
      <c r="D69" t="s">
        <v>81</v>
      </c>
      <c r="E69" t="s">
        <v>71</v>
      </c>
      <c r="F69" t="s">
        <v>82</v>
      </c>
      <c r="G69">
        <v>120</v>
      </c>
      <c r="H69">
        <v>80</v>
      </c>
    </row>
    <row r="70" spans="1:8" x14ac:dyDescent="0.3">
      <c r="A70">
        <v>69</v>
      </c>
      <c r="B70">
        <f>_xlfn.XLOOKUP(C70,[1]Brand!$A$2:$A$88,[1]Brand!$B$2:$B$88)</f>
        <v>1</v>
      </c>
      <c r="C70">
        <v>6</v>
      </c>
      <c r="D70" t="s">
        <v>83</v>
      </c>
      <c r="E70" t="s">
        <v>71</v>
      </c>
      <c r="F70" t="s">
        <v>84</v>
      </c>
      <c r="G70">
        <v>200</v>
      </c>
      <c r="H70">
        <v>70</v>
      </c>
    </row>
    <row r="71" spans="1:8" x14ac:dyDescent="0.3">
      <c r="A71">
        <v>70</v>
      </c>
      <c r="B71">
        <f>_xlfn.XLOOKUP(C71,[1]Brand!$A$2:$A$88,[1]Brand!$B$2:$B$88)</f>
        <v>1</v>
      </c>
      <c r="C71">
        <v>6</v>
      </c>
      <c r="D71" t="s">
        <v>79</v>
      </c>
      <c r="E71" t="s">
        <v>71</v>
      </c>
      <c r="F71" t="s">
        <v>85</v>
      </c>
      <c r="G71">
        <v>70</v>
      </c>
      <c r="H71">
        <v>90</v>
      </c>
    </row>
    <row r="72" spans="1:8" x14ac:dyDescent="0.3">
      <c r="A72">
        <v>71</v>
      </c>
      <c r="B72">
        <f>_xlfn.XLOOKUP(C72,[1]Brand!$A$2:$A$88,[1]Brand!$B$2:$B$88)</f>
        <v>1</v>
      </c>
      <c r="C72">
        <v>7</v>
      </c>
      <c r="D72" t="s">
        <v>11</v>
      </c>
      <c r="E72" t="s">
        <v>86</v>
      </c>
      <c r="F72" t="s">
        <v>32</v>
      </c>
      <c r="G72">
        <v>75</v>
      </c>
      <c r="H72">
        <v>100</v>
      </c>
    </row>
    <row r="73" spans="1:8" x14ac:dyDescent="0.3">
      <c r="A73">
        <v>72</v>
      </c>
      <c r="B73">
        <f>_xlfn.XLOOKUP(C73,[1]Brand!$A$2:$A$88,[1]Brand!$B$2:$B$88)</f>
        <v>1</v>
      </c>
      <c r="C73">
        <v>7</v>
      </c>
      <c r="D73" t="s">
        <v>11</v>
      </c>
      <c r="E73" t="s">
        <v>86</v>
      </c>
      <c r="F73" t="s">
        <v>87</v>
      </c>
      <c r="G73">
        <v>60</v>
      </c>
      <c r="H73">
        <v>120</v>
      </c>
    </row>
    <row r="74" spans="1:8" x14ac:dyDescent="0.3">
      <c r="A74">
        <v>73</v>
      </c>
      <c r="B74">
        <f>_xlfn.XLOOKUP(C74,[1]Brand!$A$2:$A$88,[1]Brand!$B$2:$B$88)</f>
        <v>1</v>
      </c>
      <c r="C74">
        <v>7</v>
      </c>
      <c r="D74" t="s">
        <v>11</v>
      </c>
      <c r="E74" t="s">
        <v>86</v>
      </c>
      <c r="F74" t="s">
        <v>18</v>
      </c>
      <c r="G74">
        <v>70</v>
      </c>
      <c r="H74">
        <v>90</v>
      </c>
    </row>
    <row r="75" spans="1:8" x14ac:dyDescent="0.3">
      <c r="A75">
        <v>74</v>
      </c>
      <c r="B75">
        <f>_xlfn.XLOOKUP(C75,[1]Brand!$A$2:$A$88,[1]Brand!$B$2:$B$88)</f>
        <v>1</v>
      </c>
      <c r="C75">
        <v>7</v>
      </c>
      <c r="D75" t="s">
        <v>11</v>
      </c>
      <c r="E75" t="s">
        <v>86</v>
      </c>
      <c r="F75" t="s">
        <v>88</v>
      </c>
      <c r="G75">
        <v>65</v>
      </c>
      <c r="H75">
        <v>80</v>
      </c>
    </row>
    <row r="76" spans="1:8" x14ac:dyDescent="0.3">
      <c r="A76">
        <v>75</v>
      </c>
      <c r="B76">
        <f>_xlfn.XLOOKUP(C76,[1]Brand!$A$2:$A$88,[1]Brand!$B$2:$B$88)</f>
        <v>1</v>
      </c>
      <c r="C76">
        <v>7</v>
      </c>
      <c r="D76" t="s">
        <v>11</v>
      </c>
      <c r="E76" t="s">
        <v>86</v>
      </c>
      <c r="F76" t="s">
        <v>89</v>
      </c>
      <c r="G76">
        <v>55</v>
      </c>
      <c r="H76">
        <v>110</v>
      </c>
    </row>
    <row r="77" spans="1:8" x14ac:dyDescent="0.3">
      <c r="A77">
        <v>76</v>
      </c>
      <c r="B77">
        <f>_xlfn.XLOOKUP(C77,[1]Brand!$A$2:$A$88,[1]Brand!$B$2:$B$88)</f>
        <v>1</v>
      </c>
      <c r="C77">
        <v>7</v>
      </c>
      <c r="D77" t="s">
        <v>11</v>
      </c>
      <c r="E77" t="s">
        <v>86</v>
      </c>
      <c r="F77" t="s">
        <v>90</v>
      </c>
      <c r="G77">
        <v>50</v>
      </c>
      <c r="H77">
        <v>95</v>
      </c>
    </row>
    <row r="78" spans="1:8" x14ac:dyDescent="0.3">
      <c r="A78">
        <v>77</v>
      </c>
      <c r="B78">
        <f>_xlfn.XLOOKUP(C78,[1]Brand!$A$2:$A$88,[1]Brand!$B$2:$B$88)</f>
        <v>1</v>
      </c>
      <c r="C78">
        <v>7</v>
      </c>
      <c r="D78" t="s">
        <v>11</v>
      </c>
      <c r="E78" t="s">
        <v>86</v>
      </c>
      <c r="F78" t="s">
        <v>91</v>
      </c>
      <c r="G78">
        <v>80</v>
      </c>
      <c r="H78">
        <v>70</v>
      </c>
    </row>
    <row r="79" spans="1:8" x14ac:dyDescent="0.3">
      <c r="A79">
        <v>78</v>
      </c>
      <c r="B79">
        <f>_xlfn.XLOOKUP(C79,[1]Brand!$A$2:$A$88,[1]Brand!$B$2:$B$88)</f>
        <v>1</v>
      </c>
      <c r="C79">
        <v>7</v>
      </c>
      <c r="D79" t="s">
        <v>11</v>
      </c>
      <c r="E79" t="s">
        <v>86</v>
      </c>
      <c r="F79" t="s">
        <v>92</v>
      </c>
      <c r="G79">
        <v>45</v>
      </c>
      <c r="H79">
        <v>130</v>
      </c>
    </row>
    <row r="80" spans="1:8" x14ac:dyDescent="0.3">
      <c r="A80">
        <v>79</v>
      </c>
      <c r="B80">
        <f>_xlfn.XLOOKUP(C80,[1]Brand!$A$2:$A$88,[1]Brand!$B$2:$B$88)</f>
        <v>1</v>
      </c>
      <c r="C80">
        <v>7</v>
      </c>
      <c r="D80" t="s">
        <v>11</v>
      </c>
      <c r="E80" t="s">
        <v>86</v>
      </c>
      <c r="F80" t="s">
        <v>93</v>
      </c>
      <c r="G80">
        <v>85</v>
      </c>
      <c r="H80">
        <v>60</v>
      </c>
    </row>
    <row r="81" spans="1:8" x14ac:dyDescent="0.3">
      <c r="A81">
        <v>80</v>
      </c>
      <c r="B81">
        <f>_xlfn.XLOOKUP(C81,[1]Brand!$A$2:$A$88,[1]Brand!$B$2:$B$88)</f>
        <v>1</v>
      </c>
      <c r="C81">
        <v>7</v>
      </c>
      <c r="D81" t="s">
        <v>11</v>
      </c>
      <c r="E81" t="s">
        <v>86</v>
      </c>
      <c r="F81" t="s">
        <v>94</v>
      </c>
      <c r="G81">
        <v>90</v>
      </c>
      <c r="H81">
        <v>75</v>
      </c>
    </row>
    <row r="82" spans="1:8" x14ac:dyDescent="0.3">
      <c r="A82">
        <v>81</v>
      </c>
      <c r="B82">
        <f>_xlfn.XLOOKUP(C82,[1]Brand!$A$2:$A$88,[1]Brand!$B$2:$B$88)</f>
        <v>1</v>
      </c>
      <c r="C82">
        <v>8</v>
      </c>
      <c r="D82" t="s">
        <v>11</v>
      </c>
      <c r="E82" t="s">
        <v>95</v>
      </c>
      <c r="F82" t="s">
        <v>12</v>
      </c>
      <c r="G82">
        <v>50</v>
      </c>
      <c r="H82">
        <v>100</v>
      </c>
    </row>
    <row r="83" spans="1:8" x14ac:dyDescent="0.3">
      <c r="A83">
        <v>82</v>
      </c>
      <c r="B83">
        <f>_xlfn.XLOOKUP(C83,[1]Brand!$A$2:$A$88,[1]Brand!$B$2:$B$88)</f>
        <v>1</v>
      </c>
      <c r="C83">
        <v>8</v>
      </c>
      <c r="D83" t="s">
        <v>11</v>
      </c>
      <c r="E83" t="s">
        <v>95</v>
      </c>
      <c r="F83" t="s">
        <v>96</v>
      </c>
      <c r="G83">
        <v>230</v>
      </c>
      <c r="H83">
        <v>80</v>
      </c>
    </row>
    <row r="84" spans="1:8" x14ac:dyDescent="0.3">
      <c r="A84">
        <v>83</v>
      </c>
      <c r="B84">
        <f>_xlfn.XLOOKUP(C84,[1]Brand!$A$2:$A$88,[1]Brand!$B$2:$B$88)</f>
        <v>1</v>
      </c>
      <c r="C84">
        <v>8</v>
      </c>
      <c r="D84" t="s">
        <v>11</v>
      </c>
      <c r="E84" t="s">
        <v>95</v>
      </c>
      <c r="F84" t="s">
        <v>97</v>
      </c>
      <c r="G84">
        <v>700</v>
      </c>
      <c r="H84">
        <v>60</v>
      </c>
    </row>
    <row r="85" spans="1:8" x14ac:dyDescent="0.3">
      <c r="A85">
        <v>84</v>
      </c>
      <c r="B85">
        <f>_xlfn.XLOOKUP(C85,[1]Brand!$A$2:$A$88,[1]Brand!$B$2:$B$88)</f>
        <v>1</v>
      </c>
      <c r="C85">
        <v>8</v>
      </c>
      <c r="D85" t="s">
        <v>11</v>
      </c>
      <c r="E85" t="s">
        <v>95</v>
      </c>
      <c r="F85" t="s">
        <v>98</v>
      </c>
      <c r="G85">
        <v>75</v>
      </c>
      <c r="H85">
        <v>90</v>
      </c>
    </row>
    <row r="86" spans="1:8" x14ac:dyDescent="0.3">
      <c r="A86">
        <v>85</v>
      </c>
      <c r="B86">
        <f>_xlfn.XLOOKUP(C86,[1]Brand!$A$2:$A$88,[1]Brand!$B$2:$B$88)</f>
        <v>1</v>
      </c>
      <c r="C86">
        <v>8</v>
      </c>
      <c r="D86" t="s">
        <v>11</v>
      </c>
      <c r="E86" t="s">
        <v>95</v>
      </c>
      <c r="F86" t="s">
        <v>99</v>
      </c>
      <c r="G86">
        <v>55</v>
      </c>
      <c r="H86">
        <v>110</v>
      </c>
    </row>
    <row r="87" spans="1:8" x14ac:dyDescent="0.3">
      <c r="A87">
        <v>86</v>
      </c>
      <c r="B87">
        <f>_xlfn.XLOOKUP(C87,[1]Brand!$A$2:$A$88,[1]Brand!$B$2:$B$88)</f>
        <v>1</v>
      </c>
      <c r="C87">
        <v>8</v>
      </c>
      <c r="D87" t="s">
        <v>11</v>
      </c>
      <c r="E87" t="s">
        <v>95</v>
      </c>
      <c r="F87" t="s">
        <v>100</v>
      </c>
      <c r="G87">
        <v>80</v>
      </c>
      <c r="H87">
        <v>70</v>
      </c>
    </row>
    <row r="88" spans="1:8" x14ac:dyDescent="0.3">
      <c r="A88">
        <v>87</v>
      </c>
      <c r="B88">
        <f>_xlfn.XLOOKUP(C88,[1]Brand!$A$2:$A$88,[1]Brand!$B$2:$B$88)</f>
        <v>1</v>
      </c>
      <c r="C88">
        <v>8</v>
      </c>
      <c r="D88" t="s">
        <v>11</v>
      </c>
      <c r="E88" t="s">
        <v>95</v>
      </c>
      <c r="F88" t="s">
        <v>101</v>
      </c>
      <c r="G88">
        <v>60</v>
      </c>
      <c r="H88">
        <v>95</v>
      </c>
    </row>
    <row r="89" spans="1:8" x14ac:dyDescent="0.3">
      <c r="A89">
        <v>88</v>
      </c>
      <c r="B89">
        <f>_xlfn.XLOOKUP(C89,[1]Brand!$A$2:$A$88,[1]Brand!$B$2:$B$88)</f>
        <v>1</v>
      </c>
      <c r="C89">
        <v>8</v>
      </c>
      <c r="D89" t="s">
        <v>11</v>
      </c>
      <c r="E89" t="s">
        <v>95</v>
      </c>
      <c r="F89" t="s">
        <v>16</v>
      </c>
      <c r="G89">
        <v>65</v>
      </c>
      <c r="H89">
        <v>85</v>
      </c>
    </row>
    <row r="90" spans="1:8" x14ac:dyDescent="0.3">
      <c r="A90">
        <v>89</v>
      </c>
      <c r="B90">
        <f>_xlfn.XLOOKUP(C90,[1]Brand!$A$2:$A$88,[1]Brand!$B$2:$B$88)</f>
        <v>1</v>
      </c>
      <c r="C90">
        <v>8</v>
      </c>
      <c r="D90" t="s">
        <v>11</v>
      </c>
      <c r="E90" t="s">
        <v>95</v>
      </c>
      <c r="F90" t="s">
        <v>18</v>
      </c>
      <c r="G90">
        <v>70</v>
      </c>
      <c r="H90">
        <v>100</v>
      </c>
    </row>
    <row r="91" spans="1:8" x14ac:dyDescent="0.3">
      <c r="A91">
        <v>90</v>
      </c>
      <c r="B91">
        <f>_xlfn.XLOOKUP(C91,[1]Brand!$A$2:$A$88,[1]Brand!$B$2:$B$88)</f>
        <v>1</v>
      </c>
      <c r="C91">
        <v>8</v>
      </c>
      <c r="D91" t="s">
        <v>11</v>
      </c>
      <c r="E91" t="s">
        <v>95</v>
      </c>
      <c r="F91" t="s">
        <v>102</v>
      </c>
      <c r="G91">
        <v>75</v>
      </c>
      <c r="H91">
        <v>90</v>
      </c>
    </row>
    <row r="92" spans="1:8" x14ac:dyDescent="0.3">
      <c r="A92">
        <v>91</v>
      </c>
      <c r="B92">
        <f>_xlfn.XLOOKUP(C92,[1]Brand!$A$2:$A$88,[1]Brand!$B$2:$B$88)</f>
        <v>2</v>
      </c>
      <c r="C92">
        <v>9</v>
      </c>
      <c r="D92" t="s">
        <v>103</v>
      </c>
      <c r="E92" t="s">
        <v>104</v>
      </c>
      <c r="F92" t="s">
        <v>105</v>
      </c>
      <c r="G92">
        <v>150</v>
      </c>
      <c r="H92">
        <v>120</v>
      </c>
    </row>
    <row r="93" spans="1:8" x14ac:dyDescent="0.3">
      <c r="A93">
        <v>92</v>
      </c>
      <c r="B93">
        <f>_xlfn.XLOOKUP(C93,[1]Brand!$A$2:$A$88,[1]Brand!$B$2:$B$88)</f>
        <v>2</v>
      </c>
      <c r="C93">
        <v>9</v>
      </c>
      <c r="D93" t="s">
        <v>103</v>
      </c>
      <c r="E93" t="s">
        <v>104</v>
      </c>
      <c r="F93" t="s">
        <v>106</v>
      </c>
      <c r="G93">
        <v>90</v>
      </c>
      <c r="H93">
        <v>100</v>
      </c>
    </row>
    <row r="94" spans="1:8" x14ac:dyDescent="0.3">
      <c r="A94">
        <v>93</v>
      </c>
      <c r="B94">
        <f>_xlfn.XLOOKUP(C94,[1]Brand!$A$2:$A$88,[1]Brand!$B$2:$B$88)</f>
        <v>2</v>
      </c>
      <c r="C94">
        <v>9</v>
      </c>
      <c r="D94" t="s">
        <v>103</v>
      </c>
      <c r="E94" t="s">
        <v>104</v>
      </c>
      <c r="F94" t="s">
        <v>107</v>
      </c>
      <c r="G94">
        <v>80</v>
      </c>
      <c r="H94">
        <v>110</v>
      </c>
    </row>
    <row r="95" spans="1:8" x14ac:dyDescent="0.3">
      <c r="A95">
        <v>94</v>
      </c>
      <c r="B95">
        <f>_xlfn.XLOOKUP(C95,[1]Brand!$A$2:$A$88,[1]Brand!$B$2:$B$88)</f>
        <v>2</v>
      </c>
      <c r="C95">
        <v>9</v>
      </c>
      <c r="D95" t="s">
        <v>103</v>
      </c>
      <c r="E95" t="s">
        <v>104</v>
      </c>
      <c r="F95" t="s">
        <v>108</v>
      </c>
      <c r="G95">
        <v>190</v>
      </c>
      <c r="H95">
        <v>90</v>
      </c>
    </row>
    <row r="96" spans="1:8" x14ac:dyDescent="0.3">
      <c r="A96">
        <v>95</v>
      </c>
      <c r="B96">
        <f>_xlfn.XLOOKUP(C96,[1]Brand!$A$2:$A$88,[1]Brand!$B$2:$B$88)</f>
        <v>2</v>
      </c>
      <c r="C96">
        <v>9</v>
      </c>
      <c r="D96" t="s">
        <v>103</v>
      </c>
      <c r="E96" t="s">
        <v>104</v>
      </c>
      <c r="F96" t="s">
        <v>109</v>
      </c>
      <c r="G96">
        <v>160</v>
      </c>
      <c r="H96">
        <v>80</v>
      </c>
    </row>
    <row r="97" spans="1:8" x14ac:dyDescent="0.3">
      <c r="A97">
        <v>96</v>
      </c>
      <c r="B97">
        <f>_xlfn.XLOOKUP(C97,[1]Brand!$A$2:$A$88,[1]Brand!$B$2:$B$88)</f>
        <v>2</v>
      </c>
      <c r="C97">
        <v>9</v>
      </c>
      <c r="D97" t="s">
        <v>103</v>
      </c>
      <c r="E97" t="s">
        <v>104</v>
      </c>
      <c r="F97" t="s">
        <v>110</v>
      </c>
      <c r="G97">
        <v>70</v>
      </c>
      <c r="H97">
        <v>130</v>
      </c>
    </row>
    <row r="98" spans="1:8" x14ac:dyDescent="0.3">
      <c r="A98">
        <v>97</v>
      </c>
      <c r="B98">
        <f>_xlfn.XLOOKUP(C98,[1]Brand!$A$2:$A$88,[1]Brand!$B$2:$B$88)</f>
        <v>2</v>
      </c>
      <c r="C98">
        <v>9</v>
      </c>
      <c r="D98" t="s">
        <v>103</v>
      </c>
      <c r="E98" t="s">
        <v>104</v>
      </c>
      <c r="F98" t="s">
        <v>111</v>
      </c>
      <c r="G98">
        <v>60</v>
      </c>
      <c r="H98">
        <v>140</v>
      </c>
    </row>
    <row r="99" spans="1:8" x14ac:dyDescent="0.3">
      <c r="A99">
        <v>98</v>
      </c>
      <c r="B99">
        <f>_xlfn.XLOOKUP(C99,[1]Brand!$A$2:$A$88,[1]Brand!$B$2:$B$88)</f>
        <v>2</v>
      </c>
      <c r="C99">
        <v>9</v>
      </c>
      <c r="D99" t="s">
        <v>103</v>
      </c>
      <c r="E99" t="s">
        <v>104</v>
      </c>
      <c r="F99" t="s">
        <v>112</v>
      </c>
      <c r="G99">
        <v>200</v>
      </c>
      <c r="H99">
        <v>70</v>
      </c>
    </row>
    <row r="100" spans="1:8" x14ac:dyDescent="0.3">
      <c r="A100">
        <v>99</v>
      </c>
      <c r="B100">
        <f>_xlfn.XLOOKUP(C100,[1]Brand!$A$2:$A$88,[1]Brand!$B$2:$B$88)</f>
        <v>2</v>
      </c>
      <c r="C100">
        <v>9</v>
      </c>
      <c r="D100" t="s">
        <v>103</v>
      </c>
      <c r="E100" t="s">
        <v>104</v>
      </c>
      <c r="F100" t="s">
        <v>113</v>
      </c>
      <c r="G100">
        <v>40</v>
      </c>
      <c r="H100">
        <v>150</v>
      </c>
    </row>
    <row r="101" spans="1:8" x14ac:dyDescent="0.3">
      <c r="A101">
        <v>100</v>
      </c>
      <c r="B101">
        <f>_xlfn.XLOOKUP(C101,[1]Brand!$A$2:$A$88,[1]Brand!$B$2:$B$88)</f>
        <v>2</v>
      </c>
      <c r="C101">
        <v>9</v>
      </c>
      <c r="D101" t="s">
        <v>103</v>
      </c>
      <c r="E101" t="s">
        <v>104</v>
      </c>
      <c r="F101" t="s">
        <v>114</v>
      </c>
      <c r="G101">
        <v>60</v>
      </c>
      <c r="H101">
        <v>90</v>
      </c>
    </row>
    <row r="102" spans="1:8" x14ac:dyDescent="0.3">
      <c r="A102">
        <v>101</v>
      </c>
      <c r="B102">
        <f>_xlfn.XLOOKUP(C102,[1]Brand!$A$2:$A$88,[1]Brand!$B$2:$B$88)</f>
        <v>2</v>
      </c>
      <c r="C102">
        <v>10</v>
      </c>
      <c r="D102" t="s">
        <v>115</v>
      </c>
      <c r="E102" t="s">
        <v>116</v>
      </c>
      <c r="F102" t="s">
        <v>117</v>
      </c>
      <c r="G102">
        <v>200</v>
      </c>
      <c r="H102">
        <v>120</v>
      </c>
    </row>
    <row r="103" spans="1:8" x14ac:dyDescent="0.3">
      <c r="A103">
        <v>102</v>
      </c>
      <c r="B103">
        <f>_xlfn.XLOOKUP(C103,[1]Brand!$A$2:$A$88,[1]Brand!$B$2:$B$88)</f>
        <v>2</v>
      </c>
      <c r="C103">
        <v>10</v>
      </c>
      <c r="D103" t="s">
        <v>115</v>
      </c>
      <c r="E103" t="s">
        <v>116</v>
      </c>
      <c r="F103" t="s">
        <v>118</v>
      </c>
      <c r="G103">
        <v>180</v>
      </c>
      <c r="H103">
        <v>100</v>
      </c>
    </row>
    <row r="104" spans="1:8" x14ac:dyDescent="0.3">
      <c r="A104">
        <v>103</v>
      </c>
      <c r="B104">
        <f>_xlfn.XLOOKUP(C104,[1]Brand!$A$2:$A$88,[1]Brand!$B$2:$B$88)</f>
        <v>2</v>
      </c>
      <c r="C104">
        <v>10</v>
      </c>
      <c r="D104" t="s">
        <v>119</v>
      </c>
      <c r="E104" t="s">
        <v>116</v>
      </c>
      <c r="F104" t="s">
        <v>120</v>
      </c>
      <c r="G104">
        <v>40</v>
      </c>
      <c r="H104">
        <v>150</v>
      </c>
    </row>
    <row r="105" spans="1:8" x14ac:dyDescent="0.3">
      <c r="A105">
        <v>104</v>
      </c>
      <c r="B105">
        <f>_xlfn.XLOOKUP(C105,[1]Brand!$A$2:$A$88,[1]Brand!$B$2:$B$88)</f>
        <v>2</v>
      </c>
      <c r="C105">
        <v>10</v>
      </c>
      <c r="D105" t="s">
        <v>119</v>
      </c>
      <c r="E105" t="s">
        <v>116</v>
      </c>
      <c r="F105" t="s">
        <v>121</v>
      </c>
      <c r="G105">
        <v>45</v>
      </c>
      <c r="H105">
        <v>140</v>
      </c>
    </row>
    <row r="106" spans="1:8" x14ac:dyDescent="0.3">
      <c r="A106">
        <v>105</v>
      </c>
      <c r="B106">
        <f>_xlfn.XLOOKUP(C106,[1]Brand!$A$2:$A$88,[1]Brand!$B$2:$B$88)</f>
        <v>2</v>
      </c>
      <c r="C106">
        <v>10</v>
      </c>
      <c r="D106" t="s">
        <v>122</v>
      </c>
      <c r="E106" t="s">
        <v>116</v>
      </c>
      <c r="F106" t="s">
        <v>123</v>
      </c>
      <c r="G106">
        <v>90</v>
      </c>
      <c r="H106">
        <v>110</v>
      </c>
    </row>
    <row r="107" spans="1:8" x14ac:dyDescent="0.3">
      <c r="A107">
        <v>106</v>
      </c>
      <c r="B107">
        <f>_xlfn.XLOOKUP(C107,[1]Brand!$A$2:$A$88,[1]Brand!$B$2:$B$88)</f>
        <v>2</v>
      </c>
      <c r="C107">
        <v>10</v>
      </c>
      <c r="D107" t="s">
        <v>124</v>
      </c>
      <c r="E107" t="s">
        <v>116</v>
      </c>
      <c r="F107" t="s">
        <v>125</v>
      </c>
      <c r="G107">
        <v>150</v>
      </c>
      <c r="H107">
        <v>90</v>
      </c>
    </row>
    <row r="108" spans="1:8" x14ac:dyDescent="0.3">
      <c r="A108">
        <v>107</v>
      </c>
      <c r="B108">
        <f>_xlfn.XLOOKUP(C108,[1]Brand!$A$2:$A$88,[1]Brand!$B$2:$B$88)</f>
        <v>2</v>
      </c>
      <c r="C108">
        <v>10</v>
      </c>
      <c r="D108" t="s">
        <v>126</v>
      </c>
      <c r="E108" t="s">
        <v>116</v>
      </c>
      <c r="F108" t="s">
        <v>127</v>
      </c>
      <c r="G108">
        <v>70</v>
      </c>
      <c r="H108">
        <v>130</v>
      </c>
    </row>
    <row r="109" spans="1:8" x14ac:dyDescent="0.3">
      <c r="A109">
        <v>108</v>
      </c>
      <c r="B109">
        <f>_xlfn.XLOOKUP(C109,[1]Brand!$A$2:$A$88,[1]Brand!$B$2:$B$88)</f>
        <v>2</v>
      </c>
      <c r="C109">
        <v>10</v>
      </c>
      <c r="D109" t="s">
        <v>128</v>
      </c>
      <c r="E109" t="s">
        <v>116</v>
      </c>
      <c r="F109" t="s">
        <v>129</v>
      </c>
      <c r="G109">
        <v>50</v>
      </c>
      <c r="H109">
        <v>140</v>
      </c>
    </row>
    <row r="110" spans="1:8" x14ac:dyDescent="0.3">
      <c r="A110">
        <v>109</v>
      </c>
      <c r="B110">
        <f>_xlfn.XLOOKUP(C110,[1]Brand!$A$2:$A$88,[1]Brand!$B$2:$B$88)</f>
        <v>2</v>
      </c>
      <c r="C110">
        <v>10</v>
      </c>
      <c r="D110" t="s">
        <v>130</v>
      </c>
      <c r="E110" t="s">
        <v>116</v>
      </c>
      <c r="F110" t="s">
        <v>131</v>
      </c>
      <c r="G110">
        <v>200</v>
      </c>
      <c r="H110">
        <v>80</v>
      </c>
    </row>
    <row r="111" spans="1:8" x14ac:dyDescent="0.3">
      <c r="A111">
        <v>110</v>
      </c>
      <c r="B111">
        <f>_xlfn.XLOOKUP(C111,[1]Brand!$A$2:$A$88,[1]Brand!$B$2:$B$88)</f>
        <v>2</v>
      </c>
      <c r="C111">
        <v>10</v>
      </c>
      <c r="D111" t="s">
        <v>132</v>
      </c>
      <c r="E111" t="s">
        <v>116</v>
      </c>
      <c r="F111" t="s">
        <v>133</v>
      </c>
      <c r="G111">
        <v>160</v>
      </c>
      <c r="H111">
        <v>100</v>
      </c>
    </row>
    <row r="112" spans="1:8" x14ac:dyDescent="0.3">
      <c r="A112">
        <v>111</v>
      </c>
      <c r="B112">
        <f>_xlfn.XLOOKUP(C112,[1]Brand!$A$2:$A$88,[1]Brand!$B$2:$B$88)</f>
        <v>2</v>
      </c>
      <c r="C112">
        <v>11</v>
      </c>
      <c r="D112" t="s">
        <v>119</v>
      </c>
      <c r="E112" t="s">
        <v>134</v>
      </c>
      <c r="F112" t="s">
        <v>135</v>
      </c>
      <c r="G112">
        <v>40</v>
      </c>
      <c r="H112">
        <v>150</v>
      </c>
    </row>
    <row r="113" spans="1:8" x14ac:dyDescent="0.3">
      <c r="A113">
        <v>112</v>
      </c>
      <c r="B113">
        <f>_xlfn.XLOOKUP(C113,[1]Brand!$A$2:$A$88,[1]Brand!$B$2:$B$88)</f>
        <v>2</v>
      </c>
      <c r="C113">
        <v>11</v>
      </c>
      <c r="D113" t="s">
        <v>119</v>
      </c>
      <c r="E113" t="s">
        <v>134</v>
      </c>
      <c r="F113" t="s">
        <v>136</v>
      </c>
      <c r="G113">
        <v>45</v>
      </c>
      <c r="H113">
        <v>140</v>
      </c>
    </row>
    <row r="114" spans="1:8" x14ac:dyDescent="0.3">
      <c r="A114">
        <v>113</v>
      </c>
      <c r="B114">
        <f>_xlfn.XLOOKUP(C114,[1]Brand!$A$2:$A$88,[1]Brand!$B$2:$B$88)</f>
        <v>2</v>
      </c>
      <c r="C114">
        <v>11</v>
      </c>
      <c r="D114" t="s">
        <v>122</v>
      </c>
      <c r="E114" t="s">
        <v>134</v>
      </c>
      <c r="F114" t="s">
        <v>137</v>
      </c>
      <c r="G114">
        <v>90</v>
      </c>
      <c r="H114">
        <v>110</v>
      </c>
    </row>
    <row r="115" spans="1:8" x14ac:dyDescent="0.3">
      <c r="A115">
        <v>114</v>
      </c>
      <c r="B115">
        <f>_xlfn.XLOOKUP(C115,[1]Brand!$A$2:$A$88,[1]Brand!$B$2:$B$88)</f>
        <v>2</v>
      </c>
      <c r="C115">
        <v>11</v>
      </c>
      <c r="D115" t="s">
        <v>122</v>
      </c>
      <c r="E115" t="s">
        <v>134</v>
      </c>
      <c r="F115" t="s">
        <v>138</v>
      </c>
      <c r="G115">
        <v>85</v>
      </c>
      <c r="H115">
        <v>100</v>
      </c>
    </row>
    <row r="116" spans="1:8" x14ac:dyDescent="0.3">
      <c r="A116">
        <v>115</v>
      </c>
      <c r="B116">
        <f>_xlfn.XLOOKUP(C116,[1]Brand!$A$2:$A$88,[1]Brand!$B$2:$B$88)</f>
        <v>2</v>
      </c>
      <c r="C116">
        <v>11</v>
      </c>
      <c r="D116" t="s">
        <v>139</v>
      </c>
      <c r="E116" t="s">
        <v>134</v>
      </c>
      <c r="F116" t="s">
        <v>140</v>
      </c>
      <c r="G116">
        <v>180</v>
      </c>
      <c r="H116">
        <v>90</v>
      </c>
    </row>
    <row r="117" spans="1:8" x14ac:dyDescent="0.3">
      <c r="A117">
        <v>116</v>
      </c>
      <c r="B117">
        <f>_xlfn.XLOOKUP(C117,[1]Brand!$A$2:$A$88,[1]Brand!$B$2:$B$88)</f>
        <v>2</v>
      </c>
      <c r="C117">
        <v>11</v>
      </c>
      <c r="D117" t="s">
        <v>139</v>
      </c>
      <c r="E117" t="s">
        <v>134</v>
      </c>
      <c r="F117" t="s">
        <v>141</v>
      </c>
      <c r="G117">
        <v>170</v>
      </c>
      <c r="H117">
        <v>80</v>
      </c>
    </row>
    <row r="118" spans="1:8" x14ac:dyDescent="0.3">
      <c r="A118">
        <v>117</v>
      </c>
      <c r="B118">
        <f>_xlfn.XLOOKUP(C118,[1]Brand!$A$2:$A$88,[1]Brand!$B$2:$B$88)</f>
        <v>2</v>
      </c>
      <c r="C118">
        <v>11</v>
      </c>
      <c r="D118" t="s">
        <v>128</v>
      </c>
      <c r="E118" t="s">
        <v>134</v>
      </c>
      <c r="F118" t="s">
        <v>142</v>
      </c>
      <c r="G118">
        <v>50</v>
      </c>
      <c r="H118">
        <v>130</v>
      </c>
    </row>
    <row r="119" spans="1:8" x14ac:dyDescent="0.3">
      <c r="A119">
        <v>118</v>
      </c>
      <c r="B119">
        <f>_xlfn.XLOOKUP(C119,[1]Brand!$A$2:$A$88,[1]Brand!$B$2:$B$88)</f>
        <v>2</v>
      </c>
      <c r="C119">
        <v>11</v>
      </c>
      <c r="D119" t="s">
        <v>128</v>
      </c>
      <c r="E119" t="s">
        <v>134</v>
      </c>
      <c r="F119" t="s">
        <v>143</v>
      </c>
      <c r="G119">
        <v>60</v>
      </c>
      <c r="H119">
        <v>120</v>
      </c>
    </row>
    <row r="120" spans="1:8" x14ac:dyDescent="0.3">
      <c r="A120">
        <v>119</v>
      </c>
      <c r="B120">
        <f>_xlfn.XLOOKUP(C120,[1]Brand!$A$2:$A$88,[1]Brand!$B$2:$B$88)</f>
        <v>2</v>
      </c>
      <c r="C120">
        <v>11</v>
      </c>
      <c r="D120" t="s">
        <v>126</v>
      </c>
      <c r="E120" t="s">
        <v>134</v>
      </c>
      <c r="F120" t="s">
        <v>127</v>
      </c>
      <c r="G120">
        <v>70</v>
      </c>
      <c r="H120">
        <v>100</v>
      </c>
    </row>
    <row r="121" spans="1:8" x14ac:dyDescent="0.3">
      <c r="A121">
        <v>120</v>
      </c>
      <c r="B121">
        <f>_xlfn.XLOOKUP(C121,[1]Brand!$A$2:$A$88,[1]Brand!$B$2:$B$88)</f>
        <v>2</v>
      </c>
      <c r="C121">
        <v>11</v>
      </c>
      <c r="D121" t="s">
        <v>130</v>
      </c>
      <c r="E121" t="s">
        <v>134</v>
      </c>
      <c r="F121" t="s">
        <v>144</v>
      </c>
      <c r="G121">
        <v>200</v>
      </c>
      <c r="H121">
        <v>80</v>
      </c>
    </row>
    <row r="122" spans="1:8" x14ac:dyDescent="0.3">
      <c r="A122">
        <v>121</v>
      </c>
      <c r="B122">
        <f>_xlfn.XLOOKUP(C122,[1]Brand!$A$2:$A$88,[1]Brand!$B$2:$B$88)</f>
        <v>2</v>
      </c>
      <c r="C122">
        <v>12</v>
      </c>
      <c r="D122" t="s">
        <v>145</v>
      </c>
      <c r="E122" t="s">
        <v>146</v>
      </c>
      <c r="F122" t="s">
        <v>147</v>
      </c>
      <c r="G122">
        <v>500</v>
      </c>
      <c r="H122">
        <v>80</v>
      </c>
    </row>
    <row r="123" spans="1:8" x14ac:dyDescent="0.3">
      <c r="A123">
        <v>122</v>
      </c>
      <c r="B123">
        <f>_xlfn.XLOOKUP(C123,[1]Brand!$A$2:$A$88,[1]Brand!$B$2:$B$88)</f>
        <v>2</v>
      </c>
      <c r="C123">
        <v>12</v>
      </c>
      <c r="D123" t="s">
        <v>145</v>
      </c>
      <c r="E123" t="s">
        <v>146</v>
      </c>
      <c r="F123" t="s">
        <v>148</v>
      </c>
      <c r="G123">
        <v>480</v>
      </c>
      <c r="H123">
        <v>90</v>
      </c>
    </row>
    <row r="124" spans="1:8" x14ac:dyDescent="0.3">
      <c r="A124">
        <v>123</v>
      </c>
      <c r="B124">
        <f>_xlfn.XLOOKUP(C124,[1]Brand!$A$2:$A$88,[1]Brand!$B$2:$B$88)</f>
        <v>2</v>
      </c>
      <c r="C124">
        <v>12</v>
      </c>
      <c r="D124" t="s">
        <v>145</v>
      </c>
      <c r="E124" t="s">
        <v>146</v>
      </c>
      <c r="F124" t="s">
        <v>149</v>
      </c>
      <c r="G124">
        <v>200</v>
      </c>
      <c r="H124">
        <v>100</v>
      </c>
    </row>
    <row r="125" spans="1:8" x14ac:dyDescent="0.3">
      <c r="A125">
        <v>124</v>
      </c>
      <c r="B125">
        <f>_xlfn.XLOOKUP(C125,[1]Brand!$A$2:$A$88,[1]Brand!$B$2:$B$88)</f>
        <v>2</v>
      </c>
      <c r="C125">
        <v>12</v>
      </c>
      <c r="D125" t="s">
        <v>145</v>
      </c>
      <c r="E125" t="s">
        <v>146</v>
      </c>
      <c r="F125" t="s">
        <v>150</v>
      </c>
      <c r="G125">
        <v>180</v>
      </c>
      <c r="H125">
        <v>110</v>
      </c>
    </row>
    <row r="126" spans="1:8" x14ac:dyDescent="0.3">
      <c r="A126">
        <v>125</v>
      </c>
      <c r="B126">
        <f>_xlfn.XLOOKUP(C126,[1]Brand!$A$2:$A$88,[1]Brand!$B$2:$B$88)</f>
        <v>2</v>
      </c>
      <c r="C126">
        <v>12</v>
      </c>
      <c r="D126" t="s">
        <v>145</v>
      </c>
      <c r="E126" t="s">
        <v>146</v>
      </c>
      <c r="F126" t="s">
        <v>151</v>
      </c>
      <c r="G126">
        <v>40</v>
      </c>
      <c r="H126">
        <v>150</v>
      </c>
    </row>
    <row r="127" spans="1:8" x14ac:dyDescent="0.3">
      <c r="A127">
        <v>126</v>
      </c>
      <c r="B127">
        <f>_xlfn.XLOOKUP(C127,[1]Brand!$A$2:$A$88,[1]Brand!$B$2:$B$88)</f>
        <v>2</v>
      </c>
      <c r="C127">
        <v>12</v>
      </c>
      <c r="D127" t="s">
        <v>145</v>
      </c>
      <c r="E127" t="s">
        <v>146</v>
      </c>
      <c r="F127" t="s">
        <v>152</v>
      </c>
      <c r="G127">
        <v>220</v>
      </c>
      <c r="H127">
        <v>70</v>
      </c>
    </row>
    <row r="128" spans="1:8" x14ac:dyDescent="0.3">
      <c r="A128">
        <v>127</v>
      </c>
      <c r="B128">
        <f>_xlfn.XLOOKUP(C128,[1]Brand!$A$2:$A$88,[1]Brand!$B$2:$B$88)</f>
        <v>2</v>
      </c>
      <c r="C128">
        <v>12</v>
      </c>
      <c r="D128" t="s">
        <v>145</v>
      </c>
      <c r="E128" t="s">
        <v>146</v>
      </c>
      <c r="F128" t="s">
        <v>153</v>
      </c>
      <c r="G128">
        <v>250</v>
      </c>
      <c r="H128">
        <v>60</v>
      </c>
    </row>
    <row r="129" spans="1:8" x14ac:dyDescent="0.3">
      <c r="A129">
        <v>128</v>
      </c>
      <c r="B129">
        <f>_xlfn.XLOOKUP(C129,[1]Brand!$A$2:$A$88,[1]Brand!$B$2:$B$88)</f>
        <v>2</v>
      </c>
      <c r="C129">
        <v>12</v>
      </c>
      <c r="D129" t="s">
        <v>145</v>
      </c>
      <c r="E129" t="s">
        <v>146</v>
      </c>
      <c r="F129" t="s">
        <v>154</v>
      </c>
      <c r="G129">
        <v>190</v>
      </c>
      <c r="H129">
        <v>95</v>
      </c>
    </row>
    <row r="130" spans="1:8" x14ac:dyDescent="0.3">
      <c r="A130">
        <v>129</v>
      </c>
      <c r="B130">
        <f>_xlfn.XLOOKUP(C130,[1]Brand!$A$2:$A$88,[1]Brand!$B$2:$B$88)</f>
        <v>2</v>
      </c>
      <c r="C130">
        <v>12</v>
      </c>
      <c r="D130" t="s">
        <v>145</v>
      </c>
      <c r="E130" t="s">
        <v>146</v>
      </c>
      <c r="F130" t="s">
        <v>155</v>
      </c>
      <c r="G130">
        <v>210</v>
      </c>
      <c r="H130">
        <v>85</v>
      </c>
    </row>
    <row r="131" spans="1:8" x14ac:dyDescent="0.3">
      <c r="A131">
        <v>130</v>
      </c>
      <c r="B131">
        <f>_xlfn.XLOOKUP(C131,[1]Brand!$A$2:$A$88,[1]Brand!$B$2:$B$88)</f>
        <v>2</v>
      </c>
      <c r="C131">
        <v>12</v>
      </c>
      <c r="D131" t="s">
        <v>145</v>
      </c>
      <c r="E131" t="s">
        <v>146</v>
      </c>
      <c r="F131" t="s">
        <v>156</v>
      </c>
      <c r="G131">
        <v>230</v>
      </c>
      <c r="H131">
        <v>75</v>
      </c>
    </row>
    <row r="132" spans="1:8" x14ac:dyDescent="0.3">
      <c r="A132">
        <v>131</v>
      </c>
      <c r="B132">
        <f>_xlfn.XLOOKUP(C132,[1]Brand!$A$2:$A$88,[1]Brand!$B$2:$B$88)</f>
        <v>2</v>
      </c>
      <c r="C132">
        <v>13</v>
      </c>
      <c r="D132" t="s">
        <v>115</v>
      </c>
      <c r="E132" t="s">
        <v>157</v>
      </c>
      <c r="F132" t="s">
        <v>158</v>
      </c>
      <c r="G132">
        <v>180</v>
      </c>
      <c r="H132">
        <v>100</v>
      </c>
    </row>
    <row r="133" spans="1:8" x14ac:dyDescent="0.3">
      <c r="A133">
        <v>132</v>
      </c>
      <c r="B133">
        <f>_xlfn.XLOOKUP(C133,[1]Brand!$A$2:$A$88,[1]Brand!$B$2:$B$88)</f>
        <v>2</v>
      </c>
      <c r="C133">
        <v>13</v>
      </c>
      <c r="D133" t="s">
        <v>115</v>
      </c>
      <c r="E133" t="s">
        <v>157</v>
      </c>
      <c r="F133" t="s">
        <v>159</v>
      </c>
      <c r="G133">
        <v>150</v>
      </c>
      <c r="H133">
        <v>120</v>
      </c>
    </row>
    <row r="134" spans="1:8" x14ac:dyDescent="0.3">
      <c r="A134">
        <v>133</v>
      </c>
      <c r="B134">
        <f>_xlfn.XLOOKUP(C134,[1]Brand!$A$2:$A$88,[1]Brand!$B$2:$B$88)</f>
        <v>2</v>
      </c>
      <c r="C134">
        <v>13</v>
      </c>
      <c r="D134" t="s">
        <v>115</v>
      </c>
      <c r="E134" t="s">
        <v>157</v>
      </c>
      <c r="F134" t="s">
        <v>160</v>
      </c>
      <c r="G134">
        <v>150</v>
      </c>
      <c r="H134">
        <v>110</v>
      </c>
    </row>
    <row r="135" spans="1:8" x14ac:dyDescent="0.3">
      <c r="A135">
        <v>134</v>
      </c>
      <c r="B135">
        <f>_xlfn.XLOOKUP(C135,[1]Brand!$A$2:$A$88,[1]Brand!$B$2:$B$88)</f>
        <v>2</v>
      </c>
      <c r="C135">
        <v>13</v>
      </c>
      <c r="D135" t="s">
        <v>115</v>
      </c>
      <c r="E135" t="s">
        <v>157</v>
      </c>
      <c r="F135" t="s">
        <v>161</v>
      </c>
      <c r="G135">
        <v>90</v>
      </c>
      <c r="H135">
        <v>130</v>
      </c>
    </row>
    <row r="136" spans="1:8" x14ac:dyDescent="0.3">
      <c r="A136">
        <v>135</v>
      </c>
      <c r="B136">
        <f>_xlfn.XLOOKUP(C136,[1]Brand!$A$2:$A$88,[1]Brand!$B$2:$B$88)</f>
        <v>2</v>
      </c>
      <c r="C136">
        <v>13</v>
      </c>
      <c r="D136" t="s">
        <v>115</v>
      </c>
      <c r="E136" t="s">
        <v>157</v>
      </c>
      <c r="F136" t="s">
        <v>162</v>
      </c>
      <c r="G136">
        <v>60</v>
      </c>
      <c r="H136">
        <v>140</v>
      </c>
    </row>
    <row r="137" spans="1:8" x14ac:dyDescent="0.3">
      <c r="A137">
        <v>136</v>
      </c>
      <c r="B137">
        <f>_xlfn.XLOOKUP(C137,[1]Brand!$A$2:$A$88,[1]Brand!$B$2:$B$88)</f>
        <v>2</v>
      </c>
      <c r="C137">
        <v>13</v>
      </c>
      <c r="D137" t="s">
        <v>115</v>
      </c>
      <c r="E137" t="s">
        <v>157</v>
      </c>
      <c r="F137" t="s">
        <v>163</v>
      </c>
      <c r="G137">
        <v>170</v>
      </c>
      <c r="H137">
        <v>90</v>
      </c>
    </row>
    <row r="138" spans="1:8" x14ac:dyDescent="0.3">
      <c r="A138">
        <v>137</v>
      </c>
      <c r="B138">
        <f>_xlfn.XLOOKUP(C138,[1]Brand!$A$2:$A$88,[1]Brand!$B$2:$B$88)</f>
        <v>2</v>
      </c>
      <c r="C138">
        <v>13</v>
      </c>
      <c r="D138" t="s">
        <v>115</v>
      </c>
      <c r="E138" t="s">
        <v>157</v>
      </c>
      <c r="F138" t="s">
        <v>164</v>
      </c>
      <c r="G138">
        <v>160</v>
      </c>
      <c r="H138">
        <v>80</v>
      </c>
    </row>
    <row r="139" spans="1:8" x14ac:dyDescent="0.3">
      <c r="A139">
        <v>138</v>
      </c>
      <c r="B139">
        <f>_xlfn.XLOOKUP(C139,[1]Brand!$A$2:$A$88,[1]Brand!$B$2:$B$88)</f>
        <v>2</v>
      </c>
      <c r="C139">
        <v>13</v>
      </c>
      <c r="D139" t="s">
        <v>115</v>
      </c>
      <c r="E139" t="s">
        <v>157</v>
      </c>
      <c r="F139" t="s">
        <v>165</v>
      </c>
      <c r="G139">
        <v>200</v>
      </c>
      <c r="H139">
        <v>70</v>
      </c>
    </row>
    <row r="140" spans="1:8" x14ac:dyDescent="0.3">
      <c r="A140">
        <v>139</v>
      </c>
      <c r="B140">
        <f>_xlfn.XLOOKUP(C140,[1]Brand!$A$2:$A$88,[1]Brand!$B$2:$B$88)</f>
        <v>2</v>
      </c>
      <c r="C140">
        <v>13</v>
      </c>
      <c r="D140" t="s">
        <v>115</v>
      </c>
      <c r="E140" t="s">
        <v>157</v>
      </c>
      <c r="F140" t="s">
        <v>166</v>
      </c>
      <c r="G140">
        <v>190</v>
      </c>
      <c r="H140">
        <v>60</v>
      </c>
    </row>
    <row r="141" spans="1:8" x14ac:dyDescent="0.3">
      <c r="A141">
        <v>140</v>
      </c>
      <c r="B141">
        <f>_xlfn.XLOOKUP(C141,[1]Brand!$A$2:$A$88,[1]Brand!$B$2:$B$88)</f>
        <v>2</v>
      </c>
      <c r="C141">
        <v>13</v>
      </c>
      <c r="D141" t="s">
        <v>115</v>
      </c>
      <c r="E141" t="s">
        <v>157</v>
      </c>
      <c r="F141" t="s">
        <v>167</v>
      </c>
      <c r="G141">
        <v>180</v>
      </c>
      <c r="H141">
        <v>100</v>
      </c>
    </row>
    <row r="142" spans="1:8" x14ac:dyDescent="0.3">
      <c r="A142">
        <v>141</v>
      </c>
      <c r="B142">
        <f>_xlfn.XLOOKUP(C142,[1]Brand!$A$2:$A$88,[1]Brand!$B$2:$B$88)</f>
        <v>2</v>
      </c>
      <c r="C142">
        <v>14</v>
      </c>
      <c r="D142" t="s">
        <v>168</v>
      </c>
      <c r="E142" t="s">
        <v>169</v>
      </c>
      <c r="F142" t="s">
        <v>170</v>
      </c>
      <c r="G142">
        <v>10</v>
      </c>
      <c r="H142">
        <v>150</v>
      </c>
    </row>
    <row r="143" spans="1:8" x14ac:dyDescent="0.3">
      <c r="A143">
        <v>142</v>
      </c>
      <c r="B143">
        <f>_xlfn.XLOOKUP(C143,[1]Brand!$A$2:$A$88,[1]Brand!$B$2:$B$88)</f>
        <v>2</v>
      </c>
      <c r="C143">
        <v>14</v>
      </c>
      <c r="D143" t="s">
        <v>168</v>
      </c>
      <c r="E143" t="s">
        <v>169</v>
      </c>
      <c r="F143" t="s">
        <v>171</v>
      </c>
      <c r="G143">
        <v>20</v>
      </c>
      <c r="H143">
        <v>140</v>
      </c>
    </row>
    <row r="144" spans="1:8" x14ac:dyDescent="0.3">
      <c r="A144">
        <v>143</v>
      </c>
      <c r="B144">
        <f>_xlfn.XLOOKUP(C144,[1]Brand!$A$2:$A$88,[1]Brand!$B$2:$B$88)</f>
        <v>2</v>
      </c>
      <c r="C144">
        <v>14</v>
      </c>
      <c r="D144" t="s">
        <v>168</v>
      </c>
      <c r="E144" t="s">
        <v>169</v>
      </c>
      <c r="F144" t="s">
        <v>172</v>
      </c>
      <c r="G144">
        <v>99</v>
      </c>
      <c r="H144">
        <v>120</v>
      </c>
    </row>
    <row r="145" spans="1:8" x14ac:dyDescent="0.3">
      <c r="A145">
        <v>144</v>
      </c>
      <c r="B145">
        <f>_xlfn.XLOOKUP(C145,[1]Brand!$A$2:$A$88,[1]Brand!$B$2:$B$88)</f>
        <v>2</v>
      </c>
      <c r="C145">
        <v>14</v>
      </c>
      <c r="D145" t="s">
        <v>168</v>
      </c>
      <c r="E145" t="s">
        <v>169</v>
      </c>
      <c r="F145" t="s">
        <v>173</v>
      </c>
      <c r="G145">
        <v>140</v>
      </c>
      <c r="H145">
        <v>100</v>
      </c>
    </row>
    <row r="146" spans="1:8" x14ac:dyDescent="0.3">
      <c r="A146">
        <v>145</v>
      </c>
      <c r="B146">
        <f>_xlfn.XLOOKUP(C146,[1]Brand!$A$2:$A$88,[1]Brand!$B$2:$B$88)</f>
        <v>2</v>
      </c>
      <c r="C146">
        <v>14</v>
      </c>
      <c r="D146" t="s">
        <v>168</v>
      </c>
      <c r="E146" t="s">
        <v>169</v>
      </c>
      <c r="F146" t="s">
        <v>174</v>
      </c>
      <c r="G146">
        <v>105</v>
      </c>
      <c r="H146">
        <v>110</v>
      </c>
    </row>
    <row r="147" spans="1:8" x14ac:dyDescent="0.3">
      <c r="A147">
        <v>146</v>
      </c>
      <c r="B147">
        <f>_xlfn.XLOOKUP(C147,[1]Brand!$A$2:$A$88,[1]Brand!$B$2:$B$88)</f>
        <v>2</v>
      </c>
      <c r="C147">
        <v>14</v>
      </c>
      <c r="D147" t="s">
        <v>168</v>
      </c>
      <c r="E147" t="s">
        <v>169</v>
      </c>
      <c r="F147" t="s">
        <v>175</v>
      </c>
      <c r="G147">
        <v>150</v>
      </c>
      <c r="H147">
        <v>90</v>
      </c>
    </row>
    <row r="148" spans="1:8" x14ac:dyDescent="0.3">
      <c r="A148">
        <v>147</v>
      </c>
      <c r="B148">
        <f>_xlfn.XLOOKUP(C148,[1]Brand!$A$2:$A$88,[1]Brand!$B$2:$B$88)</f>
        <v>2</v>
      </c>
      <c r="C148">
        <v>14</v>
      </c>
      <c r="D148" t="s">
        <v>168</v>
      </c>
      <c r="E148" t="s">
        <v>169</v>
      </c>
      <c r="F148" t="s">
        <v>176</v>
      </c>
      <c r="G148">
        <v>12</v>
      </c>
      <c r="H148">
        <v>130</v>
      </c>
    </row>
    <row r="149" spans="1:8" x14ac:dyDescent="0.3">
      <c r="A149">
        <v>148</v>
      </c>
      <c r="B149">
        <f>_xlfn.XLOOKUP(C149,[1]Brand!$A$2:$A$88,[1]Brand!$B$2:$B$88)</f>
        <v>2</v>
      </c>
      <c r="C149">
        <v>14</v>
      </c>
      <c r="D149" t="s">
        <v>168</v>
      </c>
      <c r="E149" t="s">
        <v>169</v>
      </c>
      <c r="F149" t="s">
        <v>177</v>
      </c>
      <c r="G149">
        <v>22</v>
      </c>
      <c r="H149">
        <v>120</v>
      </c>
    </row>
    <row r="150" spans="1:8" x14ac:dyDescent="0.3">
      <c r="A150">
        <v>149</v>
      </c>
      <c r="B150">
        <f>_xlfn.XLOOKUP(C150,[1]Brand!$A$2:$A$88,[1]Brand!$B$2:$B$88)</f>
        <v>2</v>
      </c>
      <c r="C150">
        <v>14</v>
      </c>
      <c r="D150" t="s">
        <v>168</v>
      </c>
      <c r="E150" t="s">
        <v>169</v>
      </c>
      <c r="F150" t="s">
        <v>178</v>
      </c>
      <c r="G150">
        <v>110</v>
      </c>
      <c r="H150">
        <v>100</v>
      </c>
    </row>
    <row r="151" spans="1:8" x14ac:dyDescent="0.3">
      <c r="A151">
        <v>150</v>
      </c>
      <c r="B151">
        <f>_xlfn.XLOOKUP(C151,[1]Brand!$A$2:$A$88,[1]Brand!$B$2:$B$88)</f>
        <v>2</v>
      </c>
      <c r="C151">
        <v>14</v>
      </c>
      <c r="D151" t="s">
        <v>168</v>
      </c>
      <c r="E151" t="s">
        <v>169</v>
      </c>
      <c r="F151" t="s">
        <v>179</v>
      </c>
      <c r="G151">
        <v>160</v>
      </c>
      <c r="H151">
        <v>80</v>
      </c>
    </row>
    <row r="152" spans="1:8" x14ac:dyDescent="0.3">
      <c r="A152">
        <v>151</v>
      </c>
      <c r="B152">
        <f>_xlfn.XLOOKUP(C152,[1]Brand!$A$2:$A$88,[1]Brand!$B$2:$B$88)</f>
        <v>2</v>
      </c>
      <c r="C152">
        <v>15</v>
      </c>
      <c r="D152" t="s">
        <v>180</v>
      </c>
      <c r="E152" t="s">
        <v>181</v>
      </c>
      <c r="F152" t="s">
        <v>182</v>
      </c>
      <c r="G152">
        <v>349</v>
      </c>
      <c r="H152">
        <v>100</v>
      </c>
    </row>
    <row r="153" spans="1:8" x14ac:dyDescent="0.3">
      <c r="A153">
        <v>152</v>
      </c>
      <c r="B153">
        <f>_xlfn.XLOOKUP(C153,[1]Brand!$A$2:$A$88,[1]Brand!$B$2:$B$88)</f>
        <v>2</v>
      </c>
      <c r="C153">
        <v>15</v>
      </c>
      <c r="D153" t="s">
        <v>183</v>
      </c>
      <c r="E153" t="s">
        <v>181</v>
      </c>
      <c r="F153" t="s">
        <v>184</v>
      </c>
      <c r="G153">
        <v>128</v>
      </c>
      <c r="H153">
        <v>120</v>
      </c>
    </row>
    <row r="154" spans="1:8" x14ac:dyDescent="0.3">
      <c r="A154">
        <v>153</v>
      </c>
      <c r="B154">
        <f>_xlfn.XLOOKUP(C154,[1]Brand!$A$2:$A$88,[1]Brand!$B$2:$B$88)</f>
        <v>2</v>
      </c>
      <c r="C154">
        <v>15</v>
      </c>
      <c r="D154" t="s">
        <v>185</v>
      </c>
      <c r="E154" t="s">
        <v>181</v>
      </c>
      <c r="F154" t="s">
        <v>186</v>
      </c>
      <c r="G154">
        <v>115</v>
      </c>
      <c r="H154">
        <v>90</v>
      </c>
    </row>
    <row r="155" spans="1:8" x14ac:dyDescent="0.3">
      <c r="A155">
        <v>154</v>
      </c>
      <c r="B155">
        <f>_xlfn.XLOOKUP(C155,[1]Brand!$A$2:$A$88,[1]Brand!$B$2:$B$88)</f>
        <v>2</v>
      </c>
      <c r="C155">
        <v>15</v>
      </c>
      <c r="D155" t="s">
        <v>139</v>
      </c>
      <c r="E155" t="s">
        <v>181</v>
      </c>
      <c r="F155" t="s">
        <v>187</v>
      </c>
      <c r="G155">
        <v>274</v>
      </c>
      <c r="H155">
        <v>80</v>
      </c>
    </row>
    <row r="156" spans="1:8" x14ac:dyDescent="0.3">
      <c r="A156">
        <v>155</v>
      </c>
      <c r="B156">
        <f>_xlfn.XLOOKUP(C156,[1]Brand!$A$2:$A$88,[1]Brand!$B$2:$B$88)</f>
        <v>2</v>
      </c>
      <c r="C156">
        <v>15</v>
      </c>
      <c r="D156" t="s">
        <v>139</v>
      </c>
      <c r="E156" t="s">
        <v>181</v>
      </c>
      <c r="F156" t="s">
        <v>188</v>
      </c>
      <c r="G156">
        <v>125</v>
      </c>
      <c r="H156">
        <v>110</v>
      </c>
    </row>
    <row r="157" spans="1:8" x14ac:dyDescent="0.3">
      <c r="A157">
        <v>156</v>
      </c>
      <c r="B157">
        <f>_xlfn.XLOOKUP(C157,[1]Brand!$A$2:$A$88,[1]Brand!$B$2:$B$88)</f>
        <v>2</v>
      </c>
      <c r="C157">
        <v>15</v>
      </c>
      <c r="D157" t="s">
        <v>180</v>
      </c>
      <c r="E157" t="s">
        <v>181</v>
      </c>
      <c r="F157" t="s">
        <v>189</v>
      </c>
      <c r="G157">
        <v>199</v>
      </c>
      <c r="H157">
        <v>150</v>
      </c>
    </row>
    <row r="158" spans="1:8" x14ac:dyDescent="0.3">
      <c r="A158">
        <v>157</v>
      </c>
      <c r="B158">
        <f>_xlfn.XLOOKUP(C158,[1]Brand!$A$2:$A$88,[1]Brand!$B$2:$B$88)</f>
        <v>2</v>
      </c>
      <c r="C158">
        <v>15</v>
      </c>
      <c r="D158" t="s">
        <v>190</v>
      </c>
      <c r="E158" t="s">
        <v>181</v>
      </c>
      <c r="F158" t="s">
        <v>191</v>
      </c>
      <c r="G158">
        <v>99</v>
      </c>
      <c r="H158">
        <v>130</v>
      </c>
    </row>
    <row r="159" spans="1:8" x14ac:dyDescent="0.3">
      <c r="A159">
        <v>158</v>
      </c>
      <c r="B159">
        <f>_xlfn.XLOOKUP(C159,[1]Brand!$A$2:$A$88,[1]Brand!$B$2:$B$88)</f>
        <v>2</v>
      </c>
      <c r="C159">
        <v>15</v>
      </c>
      <c r="D159" t="s">
        <v>185</v>
      </c>
      <c r="E159" t="s">
        <v>181</v>
      </c>
      <c r="F159" t="s">
        <v>192</v>
      </c>
      <c r="G159">
        <v>149</v>
      </c>
      <c r="H159">
        <v>140</v>
      </c>
    </row>
    <row r="160" spans="1:8" x14ac:dyDescent="0.3">
      <c r="A160">
        <v>159</v>
      </c>
      <c r="B160">
        <f>_xlfn.XLOOKUP(C160,[1]Brand!$A$2:$A$88,[1]Brand!$B$2:$B$88)</f>
        <v>2</v>
      </c>
      <c r="C160">
        <v>15</v>
      </c>
      <c r="D160" t="s">
        <v>183</v>
      </c>
      <c r="E160" t="s">
        <v>181</v>
      </c>
      <c r="F160" t="s">
        <v>193</v>
      </c>
      <c r="G160">
        <v>199</v>
      </c>
      <c r="H160">
        <v>100</v>
      </c>
    </row>
    <row r="161" spans="1:8" x14ac:dyDescent="0.3">
      <c r="A161">
        <v>160</v>
      </c>
      <c r="B161">
        <f>_xlfn.XLOOKUP(C161,[1]Brand!$A$2:$A$88,[1]Brand!$B$2:$B$88)</f>
        <v>2</v>
      </c>
      <c r="C161">
        <v>15</v>
      </c>
      <c r="D161" t="s">
        <v>180</v>
      </c>
      <c r="E161" t="s">
        <v>181</v>
      </c>
      <c r="F161" t="s">
        <v>194</v>
      </c>
      <c r="G161">
        <v>299</v>
      </c>
      <c r="H161">
        <v>70</v>
      </c>
    </row>
    <row r="162" spans="1:8" x14ac:dyDescent="0.3">
      <c r="A162">
        <v>161</v>
      </c>
      <c r="B162">
        <f>_xlfn.XLOOKUP(C162,[1]Brand!$A$2:$A$88,[1]Brand!$B$2:$B$88)</f>
        <v>2</v>
      </c>
      <c r="C162">
        <v>16</v>
      </c>
      <c r="D162" t="s">
        <v>195</v>
      </c>
      <c r="E162" t="s">
        <v>196</v>
      </c>
      <c r="F162" t="s">
        <v>197</v>
      </c>
      <c r="G162">
        <v>340</v>
      </c>
      <c r="H162">
        <v>100</v>
      </c>
    </row>
    <row r="163" spans="1:8" x14ac:dyDescent="0.3">
      <c r="A163">
        <v>162</v>
      </c>
      <c r="B163">
        <f>_xlfn.XLOOKUP(C163,[1]Brand!$A$2:$A$88,[1]Brand!$B$2:$B$88)</f>
        <v>2</v>
      </c>
      <c r="C163">
        <v>16</v>
      </c>
      <c r="D163" t="s">
        <v>180</v>
      </c>
      <c r="E163" t="s">
        <v>196</v>
      </c>
      <c r="F163" t="s">
        <v>198</v>
      </c>
      <c r="G163">
        <v>75</v>
      </c>
      <c r="H163">
        <v>150</v>
      </c>
    </row>
    <row r="164" spans="1:8" x14ac:dyDescent="0.3">
      <c r="A164">
        <v>163</v>
      </c>
      <c r="B164">
        <f>_xlfn.XLOOKUP(C164,[1]Brand!$A$2:$A$88,[1]Brand!$B$2:$B$88)</f>
        <v>2</v>
      </c>
      <c r="C164">
        <v>16</v>
      </c>
      <c r="D164" t="s">
        <v>195</v>
      </c>
      <c r="E164" t="s">
        <v>196</v>
      </c>
      <c r="F164" t="s">
        <v>199</v>
      </c>
      <c r="G164">
        <v>200</v>
      </c>
      <c r="H164">
        <v>120</v>
      </c>
    </row>
    <row r="165" spans="1:8" x14ac:dyDescent="0.3">
      <c r="A165">
        <v>164</v>
      </c>
      <c r="B165">
        <f>_xlfn.XLOOKUP(C165,[1]Brand!$A$2:$A$88,[1]Brand!$B$2:$B$88)</f>
        <v>2</v>
      </c>
      <c r="C165">
        <v>16</v>
      </c>
      <c r="D165" t="s">
        <v>180</v>
      </c>
      <c r="E165" t="s">
        <v>196</v>
      </c>
      <c r="F165" t="s">
        <v>200</v>
      </c>
      <c r="G165">
        <v>299</v>
      </c>
      <c r="H165">
        <v>90</v>
      </c>
    </row>
    <row r="166" spans="1:8" x14ac:dyDescent="0.3">
      <c r="A166">
        <v>165</v>
      </c>
      <c r="B166">
        <f>_xlfn.XLOOKUP(C166,[1]Brand!$A$2:$A$88,[1]Brand!$B$2:$B$88)</f>
        <v>2</v>
      </c>
      <c r="C166">
        <v>16</v>
      </c>
      <c r="D166" t="s">
        <v>183</v>
      </c>
      <c r="E166" t="s">
        <v>196</v>
      </c>
      <c r="F166" t="s">
        <v>201</v>
      </c>
      <c r="G166">
        <v>250</v>
      </c>
      <c r="H166">
        <v>80</v>
      </c>
    </row>
    <row r="167" spans="1:8" x14ac:dyDescent="0.3">
      <c r="A167">
        <v>166</v>
      </c>
      <c r="B167">
        <f>_xlfn.XLOOKUP(C167,[1]Brand!$A$2:$A$88,[1]Brand!$B$2:$B$88)</f>
        <v>2</v>
      </c>
      <c r="C167">
        <v>16</v>
      </c>
      <c r="D167" t="s">
        <v>195</v>
      </c>
      <c r="E167" t="s">
        <v>196</v>
      </c>
      <c r="F167" t="s">
        <v>202</v>
      </c>
      <c r="G167">
        <v>180</v>
      </c>
      <c r="H167">
        <v>110</v>
      </c>
    </row>
    <row r="168" spans="1:8" x14ac:dyDescent="0.3">
      <c r="A168">
        <v>167</v>
      </c>
      <c r="B168">
        <f>_xlfn.XLOOKUP(C168,[1]Brand!$A$2:$A$88,[1]Brand!$B$2:$B$88)</f>
        <v>2</v>
      </c>
      <c r="C168">
        <v>16</v>
      </c>
      <c r="D168" t="s">
        <v>180</v>
      </c>
      <c r="E168" t="s">
        <v>196</v>
      </c>
      <c r="F168" t="s">
        <v>203</v>
      </c>
      <c r="G168">
        <v>350</v>
      </c>
      <c r="H168">
        <v>70</v>
      </c>
    </row>
    <row r="169" spans="1:8" x14ac:dyDescent="0.3">
      <c r="A169">
        <v>168</v>
      </c>
      <c r="B169">
        <f>_xlfn.XLOOKUP(C169,[1]Brand!$A$2:$A$88,[1]Brand!$B$2:$B$88)</f>
        <v>2</v>
      </c>
      <c r="C169">
        <v>16</v>
      </c>
      <c r="D169" t="s">
        <v>185</v>
      </c>
      <c r="E169" t="s">
        <v>196</v>
      </c>
      <c r="F169" t="s">
        <v>204</v>
      </c>
      <c r="G169">
        <v>150</v>
      </c>
      <c r="H169">
        <v>130</v>
      </c>
    </row>
    <row r="170" spans="1:8" x14ac:dyDescent="0.3">
      <c r="A170">
        <v>169</v>
      </c>
      <c r="B170">
        <f>_xlfn.XLOOKUP(C170,[1]Brand!$A$2:$A$88,[1]Brand!$B$2:$B$88)</f>
        <v>2</v>
      </c>
      <c r="C170">
        <v>16</v>
      </c>
      <c r="D170" t="s">
        <v>195</v>
      </c>
      <c r="E170" t="s">
        <v>196</v>
      </c>
      <c r="F170" t="s">
        <v>205</v>
      </c>
      <c r="G170">
        <v>220</v>
      </c>
      <c r="H170">
        <v>100</v>
      </c>
    </row>
    <row r="171" spans="1:8" x14ac:dyDescent="0.3">
      <c r="A171">
        <v>170</v>
      </c>
      <c r="B171">
        <f>_xlfn.XLOOKUP(C171,[1]Brand!$A$2:$A$88,[1]Brand!$B$2:$B$88)</f>
        <v>2</v>
      </c>
      <c r="C171">
        <v>16</v>
      </c>
      <c r="D171" t="s">
        <v>180</v>
      </c>
      <c r="E171" t="s">
        <v>196</v>
      </c>
      <c r="F171" t="s">
        <v>206</v>
      </c>
      <c r="G171">
        <v>320</v>
      </c>
      <c r="H171">
        <v>60</v>
      </c>
    </row>
    <row r="172" spans="1:8" x14ac:dyDescent="0.3">
      <c r="A172">
        <v>171</v>
      </c>
      <c r="B172">
        <f>_xlfn.XLOOKUP(C172,[1]Brand!$A$2:$A$88,[1]Brand!$B$2:$B$88)</f>
        <v>3</v>
      </c>
      <c r="C172">
        <v>17</v>
      </c>
      <c r="D172" t="s">
        <v>207</v>
      </c>
      <c r="E172" t="s">
        <v>208</v>
      </c>
      <c r="F172" t="s">
        <v>209</v>
      </c>
      <c r="G172">
        <v>55</v>
      </c>
      <c r="H172">
        <v>100</v>
      </c>
    </row>
    <row r="173" spans="1:8" x14ac:dyDescent="0.3">
      <c r="A173">
        <v>172</v>
      </c>
      <c r="B173">
        <f>_xlfn.XLOOKUP(C173,[1]Brand!$A$2:$A$88,[1]Brand!$B$2:$B$88)</f>
        <v>3</v>
      </c>
      <c r="C173">
        <v>17</v>
      </c>
      <c r="D173" t="s">
        <v>207</v>
      </c>
      <c r="E173" t="s">
        <v>208</v>
      </c>
      <c r="F173" t="s">
        <v>210</v>
      </c>
      <c r="G173">
        <v>120</v>
      </c>
      <c r="H173">
        <v>80</v>
      </c>
    </row>
    <row r="174" spans="1:8" x14ac:dyDescent="0.3">
      <c r="A174">
        <v>173</v>
      </c>
      <c r="B174">
        <f>_xlfn.XLOOKUP(C174,[1]Brand!$A$2:$A$88,[1]Brand!$B$2:$B$88)</f>
        <v>3</v>
      </c>
      <c r="C174">
        <v>17</v>
      </c>
      <c r="D174" t="s">
        <v>207</v>
      </c>
      <c r="E174" t="s">
        <v>208</v>
      </c>
      <c r="F174" t="s">
        <v>211</v>
      </c>
      <c r="G174">
        <v>65</v>
      </c>
      <c r="H174">
        <v>90</v>
      </c>
    </row>
    <row r="175" spans="1:8" x14ac:dyDescent="0.3">
      <c r="A175">
        <v>174</v>
      </c>
      <c r="B175">
        <f>_xlfn.XLOOKUP(C175,[1]Brand!$A$2:$A$88,[1]Brand!$B$2:$B$88)</f>
        <v>3</v>
      </c>
      <c r="C175">
        <v>17</v>
      </c>
      <c r="D175" t="s">
        <v>207</v>
      </c>
      <c r="E175" t="s">
        <v>208</v>
      </c>
      <c r="F175" t="s">
        <v>212</v>
      </c>
      <c r="G175">
        <v>75</v>
      </c>
      <c r="H175">
        <v>70</v>
      </c>
    </row>
    <row r="176" spans="1:8" x14ac:dyDescent="0.3">
      <c r="A176">
        <v>175</v>
      </c>
      <c r="B176">
        <f>_xlfn.XLOOKUP(C176,[1]Brand!$A$2:$A$88,[1]Brand!$B$2:$B$88)</f>
        <v>3</v>
      </c>
      <c r="C176">
        <v>17</v>
      </c>
      <c r="D176" t="s">
        <v>207</v>
      </c>
      <c r="E176" t="s">
        <v>208</v>
      </c>
      <c r="F176" t="s">
        <v>213</v>
      </c>
      <c r="G176">
        <v>300</v>
      </c>
      <c r="H176">
        <v>60</v>
      </c>
    </row>
    <row r="177" spans="1:8" x14ac:dyDescent="0.3">
      <c r="A177">
        <v>176</v>
      </c>
      <c r="B177">
        <f>_xlfn.XLOOKUP(C177,[1]Brand!$A$2:$A$88,[1]Brand!$B$2:$B$88)</f>
        <v>3</v>
      </c>
      <c r="C177">
        <v>17</v>
      </c>
      <c r="D177" t="s">
        <v>214</v>
      </c>
      <c r="E177" t="s">
        <v>208</v>
      </c>
      <c r="F177" t="s">
        <v>215</v>
      </c>
      <c r="G177">
        <v>40</v>
      </c>
      <c r="H177">
        <v>120</v>
      </c>
    </row>
    <row r="178" spans="1:8" x14ac:dyDescent="0.3">
      <c r="A178">
        <v>177</v>
      </c>
      <c r="B178">
        <f>_xlfn.XLOOKUP(C178,[1]Brand!$A$2:$A$88,[1]Brand!$B$2:$B$88)</f>
        <v>3</v>
      </c>
      <c r="C178">
        <v>17</v>
      </c>
      <c r="D178" t="s">
        <v>214</v>
      </c>
      <c r="E178" t="s">
        <v>208</v>
      </c>
      <c r="F178" t="s">
        <v>216</v>
      </c>
      <c r="G178">
        <v>40</v>
      </c>
      <c r="H178">
        <v>110</v>
      </c>
    </row>
    <row r="179" spans="1:8" x14ac:dyDescent="0.3">
      <c r="A179">
        <v>178</v>
      </c>
      <c r="B179">
        <f>_xlfn.XLOOKUP(C179,[1]Brand!$A$2:$A$88,[1]Brand!$B$2:$B$88)</f>
        <v>3</v>
      </c>
      <c r="C179">
        <v>17</v>
      </c>
      <c r="D179" t="s">
        <v>207</v>
      </c>
      <c r="E179" t="s">
        <v>208</v>
      </c>
      <c r="F179" t="s">
        <v>217</v>
      </c>
      <c r="G179">
        <v>150</v>
      </c>
    </row>
    <row r="180" spans="1:8" x14ac:dyDescent="0.3">
      <c r="A180">
        <v>179</v>
      </c>
      <c r="B180">
        <f>_xlfn.XLOOKUP(C180,[1]Brand!$A$2:$A$88,[1]Brand!$B$2:$B$88)</f>
        <v>3</v>
      </c>
      <c r="C180">
        <v>17</v>
      </c>
      <c r="D180" t="s">
        <v>207</v>
      </c>
      <c r="E180" t="s">
        <v>208</v>
      </c>
      <c r="F180" t="s">
        <v>218</v>
      </c>
      <c r="G180">
        <v>200</v>
      </c>
      <c r="H180">
        <v>70</v>
      </c>
    </row>
    <row r="181" spans="1:8" x14ac:dyDescent="0.3">
      <c r="A181">
        <v>180</v>
      </c>
      <c r="B181">
        <f>_xlfn.XLOOKUP(C181,[1]Brand!$A$2:$A$88,[1]Brand!$B$2:$B$88)</f>
        <v>3</v>
      </c>
      <c r="C181">
        <v>17</v>
      </c>
      <c r="D181" t="s">
        <v>207</v>
      </c>
      <c r="E181" t="s">
        <v>208</v>
      </c>
      <c r="F181" t="s">
        <v>219</v>
      </c>
      <c r="G181">
        <v>40</v>
      </c>
      <c r="H181">
        <v>100</v>
      </c>
    </row>
    <row r="182" spans="1:8" x14ac:dyDescent="0.3">
      <c r="A182">
        <v>181</v>
      </c>
      <c r="B182">
        <f>_xlfn.XLOOKUP(C182,[1]Brand!$A$2:$A$88,[1]Brand!$B$2:$B$88)</f>
        <v>3</v>
      </c>
      <c r="C182">
        <v>18</v>
      </c>
      <c r="D182" t="s">
        <v>207</v>
      </c>
      <c r="E182" t="s">
        <v>220</v>
      </c>
      <c r="F182" t="s">
        <v>221</v>
      </c>
      <c r="G182">
        <v>550</v>
      </c>
      <c r="H182">
        <v>100</v>
      </c>
    </row>
    <row r="183" spans="1:8" x14ac:dyDescent="0.3">
      <c r="A183">
        <v>182</v>
      </c>
      <c r="B183">
        <f>_xlfn.XLOOKUP(C183,[1]Brand!$A$2:$A$88,[1]Brand!$B$2:$B$88)</f>
        <v>3</v>
      </c>
      <c r="C183">
        <v>18</v>
      </c>
      <c r="D183" t="s">
        <v>207</v>
      </c>
      <c r="E183" t="s">
        <v>220</v>
      </c>
      <c r="F183" t="s">
        <v>222</v>
      </c>
      <c r="G183">
        <v>50</v>
      </c>
      <c r="H183">
        <v>200</v>
      </c>
    </row>
    <row r="184" spans="1:8" x14ac:dyDescent="0.3">
      <c r="A184">
        <v>183</v>
      </c>
      <c r="B184">
        <f>_xlfn.XLOOKUP(C184,[1]Brand!$A$2:$A$88,[1]Brand!$B$2:$B$88)</f>
        <v>3</v>
      </c>
      <c r="C184">
        <v>18</v>
      </c>
      <c r="D184" t="s">
        <v>207</v>
      </c>
      <c r="E184" t="s">
        <v>220</v>
      </c>
      <c r="F184" t="s">
        <v>223</v>
      </c>
      <c r="G184">
        <v>60</v>
      </c>
      <c r="H184">
        <v>180</v>
      </c>
    </row>
    <row r="185" spans="1:8" x14ac:dyDescent="0.3">
      <c r="A185">
        <v>184</v>
      </c>
      <c r="B185">
        <f>_xlfn.XLOOKUP(C185,[1]Brand!$A$2:$A$88,[1]Brand!$B$2:$B$88)</f>
        <v>3</v>
      </c>
      <c r="C185">
        <v>18</v>
      </c>
      <c r="D185" t="s">
        <v>207</v>
      </c>
      <c r="E185" t="s">
        <v>220</v>
      </c>
      <c r="F185" t="s">
        <v>212</v>
      </c>
      <c r="G185">
        <v>80</v>
      </c>
      <c r="H185">
        <v>150</v>
      </c>
    </row>
    <row r="186" spans="1:8" x14ac:dyDescent="0.3">
      <c r="A186">
        <v>185</v>
      </c>
      <c r="B186">
        <f>_xlfn.XLOOKUP(C186,[1]Brand!$A$2:$A$88,[1]Brand!$B$2:$B$88)</f>
        <v>3</v>
      </c>
      <c r="C186">
        <v>18</v>
      </c>
      <c r="D186" t="s">
        <v>207</v>
      </c>
      <c r="E186" t="s">
        <v>220</v>
      </c>
      <c r="F186" t="s">
        <v>224</v>
      </c>
      <c r="G186">
        <v>50</v>
      </c>
      <c r="H186">
        <v>120</v>
      </c>
    </row>
    <row r="187" spans="1:8" x14ac:dyDescent="0.3">
      <c r="A187">
        <v>186</v>
      </c>
      <c r="B187">
        <f>_xlfn.XLOOKUP(C187,[1]Brand!$A$2:$A$88,[1]Brand!$B$2:$B$88)</f>
        <v>3</v>
      </c>
      <c r="C187">
        <v>18</v>
      </c>
      <c r="D187" t="s">
        <v>207</v>
      </c>
      <c r="E187" t="s">
        <v>220</v>
      </c>
      <c r="F187" t="s">
        <v>210</v>
      </c>
      <c r="G187">
        <v>120</v>
      </c>
      <c r="H187">
        <v>90</v>
      </c>
    </row>
    <row r="188" spans="1:8" x14ac:dyDescent="0.3">
      <c r="A188">
        <v>187</v>
      </c>
      <c r="B188">
        <f>_xlfn.XLOOKUP(C188,[1]Brand!$A$2:$A$88,[1]Brand!$B$2:$B$88)</f>
        <v>3</v>
      </c>
      <c r="C188">
        <v>18</v>
      </c>
      <c r="D188" t="s">
        <v>207</v>
      </c>
      <c r="E188" t="s">
        <v>220</v>
      </c>
      <c r="F188" t="s">
        <v>211</v>
      </c>
      <c r="G188">
        <v>70</v>
      </c>
      <c r="H188">
        <v>110</v>
      </c>
    </row>
    <row r="189" spans="1:8" x14ac:dyDescent="0.3">
      <c r="A189">
        <v>188</v>
      </c>
      <c r="B189">
        <f>_xlfn.XLOOKUP(C189,[1]Brand!$A$2:$A$88,[1]Brand!$B$2:$B$88)</f>
        <v>3</v>
      </c>
      <c r="C189">
        <v>18</v>
      </c>
      <c r="D189" t="s">
        <v>207</v>
      </c>
      <c r="E189" t="s">
        <v>220</v>
      </c>
      <c r="F189" t="s">
        <v>225</v>
      </c>
      <c r="G189">
        <v>25</v>
      </c>
      <c r="H189">
        <v>140</v>
      </c>
    </row>
    <row r="190" spans="1:8" x14ac:dyDescent="0.3">
      <c r="A190">
        <v>189</v>
      </c>
      <c r="B190">
        <f>_xlfn.XLOOKUP(C190,[1]Brand!$A$2:$A$88,[1]Brand!$B$2:$B$88)</f>
        <v>3</v>
      </c>
      <c r="C190">
        <v>18</v>
      </c>
      <c r="D190" t="s">
        <v>207</v>
      </c>
      <c r="E190" t="s">
        <v>220</v>
      </c>
      <c r="F190" t="s">
        <v>226</v>
      </c>
      <c r="G190">
        <v>30</v>
      </c>
      <c r="H190">
        <v>130</v>
      </c>
    </row>
    <row r="191" spans="1:8" x14ac:dyDescent="0.3">
      <c r="A191">
        <v>190</v>
      </c>
      <c r="B191">
        <f>_xlfn.XLOOKUP(C191,[1]Brand!$A$2:$A$88,[1]Brand!$B$2:$B$88)</f>
        <v>3</v>
      </c>
      <c r="C191">
        <v>18</v>
      </c>
      <c r="D191" t="s">
        <v>207</v>
      </c>
      <c r="E191" t="s">
        <v>220</v>
      </c>
      <c r="F191" t="s">
        <v>227</v>
      </c>
      <c r="G191">
        <v>50</v>
      </c>
      <c r="H191">
        <v>100</v>
      </c>
    </row>
    <row r="192" spans="1:8" x14ac:dyDescent="0.3">
      <c r="A192">
        <v>191</v>
      </c>
      <c r="B192">
        <f>_xlfn.XLOOKUP(C192,[1]Brand!$A$2:$A$88,[1]Brand!$B$2:$B$88)</f>
        <v>3</v>
      </c>
      <c r="C192">
        <v>20</v>
      </c>
      <c r="D192" t="s">
        <v>207</v>
      </c>
      <c r="E192" t="s">
        <v>228</v>
      </c>
      <c r="F192" t="s">
        <v>229</v>
      </c>
      <c r="G192">
        <v>125</v>
      </c>
      <c r="H192">
        <v>50</v>
      </c>
    </row>
    <row r="193" spans="1:8" x14ac:dyDescent="0.3">
      <c r="A193">
        <v>192</v>
      </c>
      <c r="B193">
        <f>_xlfn.XLOOKUP(C193,[1]Brand!$A$2:$A$88,[1]Brand!$B$2:$B$88)</f>
        <v>3</v>
      </c>
      <c r="C193">
        <v>20</v>
      </c>
      <c r="D193" t="s">
        <v>214</v>
      </c>
      <c r="E193" t="s">
        <v>228</v>
      </c>
      <c r="F193" t="s">
        <v>230</v>
      </c>
      <c r="G193">
        <v>299</v>
      </c>
      <c r="H193">
        <v>30</v>
      </c>
    </row>
    <row r="194" spans="1:8" x14ac:dyDescent="0.3">
      <c r="A194">
        <v>193</v>
      </c>
      <c r="B194">
        <f>_xlfn.XLOOKUP(C194,[1]Brand!$A$2:$A$88,[1]Brand!$B$2:$B$88)</f>
        <v>3</v>
      </c>
      <c r="C194">
        <v>20</v>
      </c>
      <c r="D194" t="s">
        <v>231</v>
      </c>
      <c r="E194" t="s">
        <v>228</v>
      </c>
      <c r="F194" t="s">
        <v>232</v>
      </c>
      <c r="G194">
        <v>12</v>
      </c>
      <c r="H194">
        <v>100</v>
      </c>
    </row>
    <row r="195" spans="1:8" x14ac:dyDescent="0.3">
      <c r="A195">
        <v>194</v>
      </c>
      <c r="B195">
        <f>_xlfn.XLOOKUP(C195,[1]Brand!$A$2:$A$88,[1]Brand!$B$2:$B$88)</f>
        <v>3</v>
      </c>
      <c r="C195">
        <v>20</v>
      </c>
      <c r="D195" t="s">
        <v>233</v>
      </c>
      <c r="E195" t="s">
        <v>228</v>
      </c>
      <c r="F195" t="s">
        <v>234</v>
      </c>
      <c r="G195">
        <v>20</v>
      </c>
      <c r="H195">
        <v>75</v>
      </c>
    </row>
    <row r="196" spans="1:8" x14ac:dyDescent="0.3">
      <c r="A196">
        <v>195</v>
      </c>
      <c r="B196">
        <f>_xlfn.XLOOKUP(C196,[1]Brand!$A$2:$A$88,[1]Brand!$B$2:$B$88)</f>
        <v>3</v>
      </c>
      <c r="C196">
        <v>20</v>
      </c>
      <c r="D196" t="s">
        <v>235</v>
      </c>
      <c r="E196" t="s">
        <v>228</v>
      </c>
      <c r="F196" t="s">
        <v>236</v>
      </c>
      <c r="G196">
        <v>250</v>
      </c>
      <c r="H196">
        <v>40</v>
      </c>
    </row>
    <row r="197" spans="1:8" x14ac:dyDescent="0.3">
      <c r="A197">
        <v>196</v>
      </c>
      <c r="B197">
        <f>_xlfn.XLOOKUP(C197,[1]Brand!$A$2:$A$88,[1]Brand!$B$2:$B$88)</f>
        <v>3</v>
      </c>
      <c r="C197">
        <v>19</v>
      </c>
      <c r="D197" t="s">
        <v>237</v>
      </c>
      <c r="E197" t="s">
        <v>238</v>
      </c>
      <c r="F197" t="s">
        <v>239</v>
      </c>
      <c r="G197">
        <v>175</v>
      </c>
      <c r="H197">
        <v>20</v>
      </c>
    </row>
    <row r="198" spans="1:8" x14ac:dyDescent="0.3">
      <c r="A198">
        <v>197</v>
      </c>
      <c r="B198">
        <f>_xlfn.XLOOKUP(C198,[1]Brand!$A$2:$A$88,[1]Brand!$B$2:$B$88)</f>
        <v>3</v>
      </c>
      <c r="C198">
        <v>19</v>
      </c>
      <c r="D198" t="s">
        <v>237</v>
      </c>
      <c r="E198" t="s">
        <v>238</v>
      </c>
      <c r="F198" t="s">
        <v>240</v>
      </c>
      <c r="G198">
        <v>60</v>
      </c>
      <c r="H198">
        <v>35</v>
      </c>
    </row>
    <row r="199" spans="1:8" x14ac:dyDescent="0.3">
      <c r="A199">
        <v>198</v>
      </c>
      <c r="B199">
        <f>_xlfn.XLOOKUP(C199,[1]Brand!$A$2:$A$88,[1]Brand!$B$2:$B$88)</f>
        <v>3</v>
      </c>
      <c r="C199">
        <v>19</v>
      </c>
      <c r="D199" t="s">
        <v>237</v>
      </c>
      <c r="E199" t="s">
        <v>238</v>
      </c>
      <c r="F199" t="s">
        <v>241</v>
      </c>
      <c r="G199">
        <v>90</v>
      </c>
      <c r="H199">
        <v>25</v>
      </c>
    </row>
    <row r="200" spans="1:8" x14ac:dyDescent="0.3">
      <c r="A200">
        <v>199</v>
      </c>
      <c r="B200">
        <f>_xlfn.XLOOKUP(C200,[1]Brand!$A$2:$A$88,[1]Brand!$B$2:$B$88)</f>
        <v>3</v>
      </c>
      <c r="C200">
        <v>19</v>
      </c>
      <c r="D200" t="s">
        <v>237</v>
      </c>
      <c r="E200" t="s">
        <v>238</v>
      </c>
      <c r="F200" t="s">
        <v>242</v>
      </c>
      <c r="G200">
        <v>40</v>
      </c>
      <c r="H200">
        <v>50</v>
      </c>
    </row>
    <row r="201" spans="1:8" x14ac:dyDescent="0.3">
      <c r="A201">
        <v>200</v>
      </c>
      <c r="B201">
        <f>_xlfn.XLOOKUP(C201,[1]Brand!$A$2:$A$88,[1]Brand!$B$2:$B$88)</f>
        <v>3</v>
      </c>
      <c r="C201">
        <v>19</v>
      </c>
      <c r="D201" t="s">
        <v>237</v>
      </c>
      <c r="E201" t="s">
        <v>238</v>
      </c>
      <c r="F201" t="s">
        <v>243</v>
      </c>
      <c r="G201">
        <v>20</v>
      </c>
      <c r="H201">
        <v>45</v>
      </c>
    </row>
    <row r="202" spans="1:8" x14ac:dyDescent="0.3">
      <c r="A202">
        <v>201</v>
      </c>
      <c r="B202">
        <f>_xlfn.XLOOKUP(C202,[1]Brand!$A$2:$A$88,[1]Brand!$B$2:$B$88)</f>
        <v>3</v>
      </c>
      <c r="C202">
        <v>21</v>
      </c>
      <c r="D202" t="s">
        <v>244</v>
      </c>
      <c r="E202" t="s">
        <v>245</v>
      </c>
      <c r="F202" t="s">
        <v>246</v>
      </c>
      <c r="G202">
        <v>50</v>
      </c>
      <c r="H202">
        <v>60</v>
      </c>
    </row>
    <row r="203" spans="1:8" x14ac:dyDescent="0.3">
      <c r="A203">
        <v>202</v>
      </c>
      <c r="B203">
        <f>_xlfn.XLOOKUP(C203,[1]Brand!$A$2:$A$88,[1]Brand!$B$2:$B$88)</f>
        <v>3</v>
      </c>
      <c r="C203">
        <v>21</v>
      </c>
      <c r="D203" t="s">
        <v>207</v>
      </c>
      <c r="E203" t="s">
        <v>245</v>
      </c>
      <c r="F203" t="s">
        <v>247</v>
      </c>
      <c r="G203">
        <v>120</v>
      </c>
      <c r="H203">
        <v>40</v>
      </c>
    </row>
    <row r="204" spans="1:8" x14ac:dyDescent="0.3">
      <c r="A204">
        <v>203</v>
      </c>
      <c r="B204">
        <f>_xlfn.XLOOKUP(C204,[1]Brand!$A$2:$A$88,[1]Brand!$B$2:$B$88)</f>
        <v>3</v>
      </c>
      <c r="C204">
        <v>21</v>
      </c>
      <c r="D204" t="s">
        <v>248</v>
      </c>
      <c r="E204" t="s">
        <v>245</v>
      </c>
      <c r="F204" t="s">
        <v>249</v>
      </c>
      <c r="G204">
        <v>80</v>
      </c>
      <c r="H204">
        <v>30</v>
      </c>
    </row>
    <row r="205" spans="1:8" x14ac:dyDescent="0.3">
      <c r="A205">
        <v>204</v>
      </c>
      <c r="B205">
        <f>_xlfn.XLOOKUP(C205,[1]Brand!$A$2:$A$88,[1]Brand!$B$2:$B$88)</f>
        <v>3</v>
      </c>
      <c r="C205">
        <v>21</v>
      </c>
      <c r="D205" t="s">
        <v>79</v>
      </c>
      <c r="E205" t="s">
        <v>245</v>
      </c>
      <c r="F205" t="s">
        <v>250</v>
      </c>
      <c r="G205">
        <v>60</v>
      </c>
    </row>
    <row r="206" spans="1:8" x14ac:dyDescent="0.3">
      <c r="A206">
        <v>205</v>
      </c>
      <c r="B206">
        <f>_xlfn.XLOOKUP(C206,[1]Brand!$A$2:$A$88,[1]Brand!$B$2:$B$88)</f>
        <v>3</v>
      </c>
      <c r="C206">
        <v>21</v>
      </c>
      <c r="D206" t="s">
        <v>251</v>
      </c>
      <c r="E206" t="s">
        <v>245</v>
      </c>
      <c r="F206" t="s">
        <v>252</v>
      </c>
      <c r="G206">
        <v>35</v>
      </c>
      <c r="H206">
        <v>70</v>
      </c>
    </row>
    <row r="207" spans="1:8" x14ac:dyDescent="0.3">
      <c r="A207">
        <v>206</v>
      </c>
      <c r="B207">
        <f>_xlfn.XLOOKUP(C207,[1]Brand!$A$2:$A$88,[1]Brand!$B$2:$B$88)</f>
        <v>3</v>
      </c>
      <c r="C207">
        <v>22</v>
      </c>
      <c r="D207" t="s">
        <v>237</v>
      </c>
      <c r="E207" t="s">
        <v>253</v>
      </c>
      <c r="F207" t="s">
        <v>254</v>
      </c>
      <c r="G207">
        <v>200</v>
      </c>
      <c r="H207">
        <v>30</v>
      </c>
    </row>
    <row r="208" spans="1:8" x14ac:dyDescent="0.3">
      <c r="A208">
        <v>207</v>
      </c>
      <c r="B208">
        <f>_xlfn.XLOOKUP(C208,[1]Brand!$A$2:$A$88,[1]Brand!$B$2:$B$88)</f>
        <v>3</v>
      </c>
      <c r="C208">
        <v>22</v>
      </c>
      <c r="D208" t="s">
        <v>237</v>
      </c>
      <c r="E208" t="s">
        <v>253</v>
      </c>
      <c r="F208" t="s">
        <v>255</v>
      </c>
      <c r="G208">
        <v>25</v>
      </c>
      <c r="H208">
        <v>50</v>
      </c>
    </row>
    <row r="209" spans="1:8" x14ac:dyDescent="0.3">
      <c r="A209">
        <v>208</v>
      </c>
      <c r="B209">
        <f>_xlfn.XLOOKUP(C209,[1]Brand!$A$2:$A$88,[1]Brand!$B$2:$B$88)</f>
        <v>3</v>
      </c>
      <c r="C209">
        <v>22</v>
      </c>
      <c r="D209" t="s">
        <v>237</v>
      </c>
      <c r="E209" t="s">
        <v>253</v>
      </c>
      <c r="F209" t="s">
        <v>256</v>
      </c>
      <c r="G209">
        <v>40</v>
      </c>
      <c r="H209">
        <v>40</v>
      </c>
    </row>
    <row r="210" spans="1:8" x14ac:dyDescent="0.3">
      <c r="A210">
        <v>209</v>
      </c>
      <c r="B210">
        <f>_xlfn.XLOOKUP(C210,[1]Brand!$A$2:$A$88,[1]Brand!$B$2:$B$88)</f>
        <v>3</v>
      </c>
      <c r="C210">
        <v>22</v>
      </c>
      <c r="D210" t="s">
        <v>237</v>
      </c>
      <c r="E210" t="s">
        <v>253</v>
      </c>
      <c r="F210" t="s">
        <v>257</v>
      </c>
      <c r="G210">
        <v>35</v>
      </c>
      <c r="H210">
        <v>45</v>
      </c>
    </row>
    <row r="211" spans="1:8" x14ac:dyDescent="0.3">
      <c r="A211">
        <v>210</v>
      </c>
      <c r="B211">
        <f>_xlfn.XLOOKUP(C211,[1]Brand!$A$2:$A$88,[1]Brand!$B$2:$B$88)</f>
        <v>3</v>
      </c>
      <c r="C211">
        <v>22</v>
      </c>
      <c r="D211" t="s">
        <v>237</v>
      </c>
      <c r="E211" t="s">
        <v>253</v>
      </c>
      <c r="F211" t="s">
        <v>258</v>
      </c>
      <c r="G211">
        <v>150</v>
      </c>
      <c r="H211">
        <v>25</v>
      </c>
    </row>
    <row r="212" spans="1:8" x14ac:dyDescent="0.3">
      <c r="A212">
        <v>211</v>
      </c>
      <c r="B212">
        <f>_xlfn.XLOOKUP(C212,[1]Brand!$A$2:$A$88,[1]Brand!$B$2:$B$88)</f>
        <v>3</v>
      </c>
      <c r="C212">
        <v>23</v>
      </c>
      <c r="D212" t="s">
        <v>207</v>
      </c>
      <c r="E212" t="s">
        <v>259</v>
      </c>
      <c r="F212" t="s">
        <v>260</v>
      </c>
      <c r="G212">
        <v>55</v>
      </c>
      <c r="H212">
        <v>100</v>
      </c>
    </row>
    <row r="213" spans="1:8" x14ac:dyDescent="0.3">
      <c r="A213">
        <v>212</v>
      </c>
      <c r="B213">
        <f>_xlfn.XLOOKUP(C213,[1]Brand!$A$2:$A$88,[1]Brand!$B$2:$B$88)</f>
        <v>3</v>
      </c>
      <c r="C213">
        <v>23</v>
      </c>
      <c r="D213" t="s">
        <v>207</v>
      </c>
      <c r="E213" t="s">
        <v>259</v>
      </c>
      <c r="F213" t="s">
        <v>261</v>
      </c>
      <c r="G213">
        <v>40</v>
      </c>
      <c r="H213">
        <v>80</v>
      </c>
    </row>
    <row r="214" spans="1:8" x14ac:dyDescent="0.3">
      <c r="A214">
        <v>213</v>
      </c>
      <c r="B214">
        <f>_xlfn.XLOOKUP(C214,[1]Brand!$A$2:$A$88,[1]Brand!$B$2:$B$88)</f>
        <v>3</v>
      </c>
      <c r="C214">
        <v>23</v>
      </c>
      <c r="D214" t="s">
        <v>207</v>
      </c>
      <c r="E214" t="s">
        <v>259</v>
      </c>
      <c r="F214" t="s">
        <v>262</v>
      </c>
      <c r="G214">
        <v>75</v>
      </c>
      <c r="H214">
        <v>50</v>
      </c>
    </row>
    <row r="215" spans="1:8" x14ac:dyDescent="0.3">
      <c r="A215">
        <v>214</v>
      </c>
      <c r="B215">
        <f>_xlfn.XLOOKUP(C215,[1]Brand!$A$2:$A$88,[1]Brand!$B$2:$B$88)</f>
        <v>3</v>
      </c>
      <c r="C215">
        <v>23</v>
      </c>
      <c r="D215" t="s">
        <v>207</v>
      </c>
      <c r="E215" t="s">
        <v>259</v>
      </c>
      <c r="F215" t="s">
        <v>263</v>
      </c>
      <c r="G215">
        <v>45</v>
      </c>
      <c r="H215">
        <v>60</v>
      </c>
    </row>
    <row r="216" spans="1:8" x14ac:dyDescent="0.3">
      <c r="A216">
        <v>215</v>
      </c>
      <c r="B216">
        <f>_xlfn.XLOOKUP(C216,[1]Brand!$A$2:$A$88,[1]Brand!$B$2:$B$88)</f>
        <v>3</v>
      </c>
      <c r="C216">
        <v>23</v>
      </c>
      <c r="D216" t="s">
        <v>207</v>
      </c>
      <c r="E216" t="s">
        <v>259</v>
      </c>
      <c r="F216" t="s">
        <v>264</v>
      </c>
      <c r="G216">
        <v>300</v>
      </c>
      <c r="H216">
        <v>30</v>
      </c>
    </row>
    <row r="217" spans="1:8" x14ac:dyDescent="0.3">
      <c r="A217">
        <v>216</v>
      </c>
      <c r="B217">
        <f>_xlfn.XLOOKUP(C217,[1]Brand!$A$2:$A$88,[1]Brand!$B$2:$B$88)</f>
        <v>4</v>
      </c>
      <c r="C217">
        <v>24</v>
      </c>
      <c r="D217" t="s">
        <v>265</v>
      </c>
      <c r="E217" t="s">
        <v>266</v>
      </c>
      <c r="F217" t="s">
        <v>267</v>
      </c>
      <c r="G217">
        <v>120</v>
      </c>
      <c r="H217">
        <v>100</v>
      </c>
    </row>
    <row r="218" spans="1:8" x14ac:dyDescent="0.3">
      <c r="A218">
        <v>217</v>
      </c>
      <c r="B218">
        <f>_xlfn.XLOOKUP(C218,[1]Brand!$A$2:$A$88,[1]Brand!$B$2:$B$88)</f>
        <v>4</v>
      </c>
      <c r="C218">
        <v>24</v>
      </c>
      <c r="D218" t="s">
        <v>268</v>
      </c>
      <c r="E218" t="s">
        <v>266</v>
      </c>
      <c r="F218" t="s">
        <v>269</v>
      </c>
      <c r="G218">
        <v>50</v>
      </c>
      <c r="H218">
        <v>80</v>
      </c>
    </row>
    <row r="219" spans="1:8" x14ac:dyDescent="0.3">
      <c r="A219">
        <v>218</v>
      </c>
      <c r="B219">
        <f>_xlfn.XLOOKUP(C219,[1]Brand!$A$2:$A$88,[1]Brand!$B$2:$B$88)</f>
        <v>4</v>
      </c>
      <c r="C219">
        <v>24</v>
      </c>
      <c r="D219" t="s">
        <v>270</v>
      </c>
      <c r="E219" t="s">
        <v>266</v>
      </c>
      <c r="F219" t="s">
        <v>271</v>
      </c>
      <c r="G219">
        <v>300</v>
      </c>
      <c r="H219">
        <v>40</v>
      </c>
    </row>
    <row r="220" spans="1:8" x14ac:dyDescent="0.3">
      <c r="A220">
        <v>219</v>
      </c>
      <c r="B220">
        <f>_xlfn.XLOOKUP(C220,[1]Brand!$A$2:$A$88,[1]Brand!$B$2:$B$88)</f>
        <v>4</v>
      </c>
      <c r="C220">
        <v>24</v>
      </c>
      <c r="D220" t="s">
        <v>272</v>
      </c>
      <c r="E220" t="s">
        <v>266</v>
      </c>
      <c r="F220" t="s">
        <v>273</v>
      </c>
      <c r="G220">
        <v>60</v>
      </c>
      <c r="H220">
        <v>70</v>
      </c>
    </row>
    <row r="221" spans="1:8" x14ac:dyDescent="0.3">
      <c r="A221">
        <v>220</v>
      </c>
      <c r="B221">
        <f>_xlfn.XLOOKUP(C221,[1]Brand!$A$2:$A$88,[1]Brand!$B$2:$B$88)</f>
        <v>4</v>
      </c>
      <c r="C221">
        <v>24</v>
      </c>
      <c r="D221" t="s">
        <v>274</v>
      </c>
      <c r="E221" t="s">
        <v>266</v>
      </c>
      <c r="F221" t="s">
        <v>275</v>
      </c>
      <c r="G221">
        <v>15</v>
      </c>
      <c r="H221">
        <v>90</v>
      </c>
    </row>
    <row r="222" spans="1:8" x14ac:dyDescent="0.3">
      <c r="A222">
        <v>221</v>
      </c>
      <c r="B222">
        <f>_xlfn.XLOOKUP(C222,[1]Brand!$A$2:$A$88,[1]Brand!$B$2:$B$88)</f>
        <v>4</v>
      </c>
      <c r="C222">
        <v>24</v>
      </c>
      <c r="D222" t="s">
        <v>265</v>
      </c>
      <c r="E222" t="s">
        <v>266</v>
      </c>
      <c r="F222" t="s">
        <v>276</v>
      </c>
      <c r="G222">
        <v>110</v>
      </c>
      <c r="H222">
        <v>90</v>
      </c>
    </row>
    <row r="223" spans="1:8" x14ac:dyDescent="0.3">
      <c r="A223">
        <v>222</v>
      </c>
      <c r="B223">
        <f>_xlfn.XLOOKUP(C223,[1]Brand!$A$2:$A$88,[1]Brand!$B$2:$B$88)</f>
        <v>4</v>
      </c>
      <c r="C223">
        <v>24</v>
      </c>
      <c r="D223" t="s">
        <v>268</v>
      </c>
      <c r="E223" t="s">
        <v>266</v>
      </c>
      <c r="F223" t="s">
        <v>277</v>
      </c>
      <c r="G223">
        <v>75</v>
      </c>
      <c r="H223">
        <v>60</v>
      </c>
    </row>
    <row r="224" spans="1:8" x14ac:dyDescent="0.3">
      <c r="A224">
        <v>223</v>
      </c>
      <c r="B224">
        <f>_xlfn.XLOOKUP(C224,[1]Brand!$A$2:$A$88,[1]Brand!$B$2:$B$88)</f>
        <v>4</v>
      </c>
      <c r="C224">
        <v>24</v>
      </c>
      <c r="D224" t="s">
        <v>270</v>
      </c>
      <c r="E224" t="s">
        <v>266</v>
      </c>
      <c r="F224" t="s">
        <v>278</v>
      </c>
      <c r="G224">
        <v>350</v>
      </c>
      <c r="H224">
        <v>35</v>
      </c>
    </row>
    <row r="225" spans="1:8" x14ac:dyDescent="0.3">
      <c r="A225">
        <v>224</v>
      </c>
      <c r="B225">
        <f>_xlfn.XLOOKUP(C225,[1]Brand!$A$2:$A$88,[1]Brand!$B$2:$B$88)</f>
        <v>4</v>
      </c>
      <c r="C225">
        <v>24</v>
      </c>
      <c r="D225" t="s">
        <v>272</v>
      </c>
      <c r="E225" t="s">
        <v>266</v>
      </c>
      <c r="F225" t="s">
        <v>279</v>
      </c>
      <c r="G225">
        <v>80</v>
      </c>
    </row>
    <row r="226" spans="1:8" x14ac:dyDescent="0.3">
      <c r="A226">
        <v>225</v>
      </c>
      <c r="B226">
        <f>_xlfn.XLOOKUP(C226,[1]Brand!$A$2:$A$88,[1]Brand!$B$2:$B$88)</f>
        <v>4</v>
      </c>
      <c r="C226">
        <v>24</v>
      </c>
      <c r="D226" t="s">
        <v>274</v>
      </c>
      <c r="E226" t="s">
        <v>266</v>
      </c>
      <c r="F226" t="s">
        <v>280</v>
      </c>
      <c r="G226">
        <v>70</v>
      </c>
      <c r="H226">
        <v>40</v>
      </c>
    </row>
    <row r="227" spans="1:8" x14ac:dyDescent="0.3">
      <c r="A227">
        <v>226</v>
      </c>
      <c r="B227">
        <f>_xlfn.XLOOKUP(C227,[1]Brand!$A$2:$A$88,[1]Brand!$B$2:$B$88)</f>
        <v>4</v>
      </c>
      <c r="C227">
        <v>24</v>
      </c>
      <c r="D227" t="s">
        <v>265</v>
      </c>
      <c r="E227" t="s">
        <v>266</v>
      </c>
      <c r="F227" t="s">
        <v>281</v>
      </c>
      <c r="G227">
        <v>90</v>
      </c>
      <c r="H227">
        <v>85</v>
      </c>
    </row>
    <row r="228" spans="1:8" x14ac:dyDescent="0.3">
      <c r="A228">
        <v>227</v>
      </c>
      <c r="B228">
        <f>_xlfn.XLOOKUP(C228,[1]Brand!$A$2:$A$88,[1]Brand!$B$2:$B$88)</f>
        <v>4</v>
      </c>
      <c r="C228">
        <v>24</v>
      </c>
      <c r="D228" t="s">
        <v>268</v>
      </c>
      <c r="E228" t="s">
        <v>266</v>
      </c>
      <c r="F228" t="s">
        <v>282</v>
      </c>
      <c r="G228">
        <v>45</v>
      </c>
      <c r="H228">
        <v>70</v>
      </c>
    </row>
    <row r="229" spans="1:8" x14ac:dyDescent="0.3">
      <c r="A229">
        <v>228</v>
      </c>
      <c r="B229">
        <f>_xlfn.XLOOKUP(C229,[1]Brand!$A$2:$A$88,[1]Brand!$B$2:$B$88)</f>
        <v>4</v>
      </c>
      <c r="C229">
        <v>24</v>
      </c>
      <c r="D229" t="s">
        <v>270</v>
      </c>
      <c r="E229" t="s">
        <v>266</v>
      </c>
      <c r="F229" t="s">
        <v>283</v>
      </c>
      <c r="G229">
        <v>150</v>
      </c>
      <c r="H229">
        <v>50</v>
      </c>
    </row>
    <row r="230" spans="1:8" x14ac:dyDescent="0.3">
      <c r="A230">
        <v>229</v>
      </c>
      <c r="B230">
        <f>_xlfn.XLOOKUP(C230,[1]Brand!$A$2:$A$88,[1]Brand!$B$2:$B$88)</f>
        <v>4</v>
      </c>
      <c r="C230">
        <v>24</v>
      </c>
      <c r="D230" t="s">
        <v>272</v>
      </c>
      <c r="E230" t="s">
        <v>266</v>
      </c>
      <c r="F230" t="s">
        <v>284</v>
      </c>
      <c r="G230">
        <v>120</v>
      </c>
      <c r="H230">
        <v>40</v>
      </c>
    </row>
    <row r="231" spans="1:8" x14ac:dyDescent="0.3">
      <c r="A231">
        <v>230</v>
      </c>
      <c r="B231">
        <f>_xlfn.XLOOKUP(C231,[1]Brand!$A$2:$A$88,[1]Brand!$B$2:$B$88)</f>
        <v>4</v>
      </c>
      <c r="C231">
        <v>24</v>
      </c>
      <c r="D231" t="s">
        <v>274</v>
      </c>
      <c r="E231" t="s">
        <v>266</v>
      </c>
      <c r="F231" t="s">
        <v>285</v>
      </c>
      <c r="G231">
        <v>180</v>
      </c>
      <c r="H231">
        <v>30</v>
      </c>
    </row>
    <row r="232" spans="1:8" x14ac:dyDescent="0.3">
      <c r="A232">
        <v>231</v>
      </c>
      <c r="B232">
        <f>_xlfn.XLOOKUP(C232,[1]Brand!$A$2:$A$88,[1]Brand!$B$2:$B$88)</f>
        <v>4</v>
      </c>
      <c r="C232">
        <v>25</v>
      </c>
      <c r="D232" t="s">
        <v>265</v>
      </c>
      <c r="E232" t="s">
        <v>286</v>
      </c>
      <c r="F232" t="s">
        <v>267</v>
      </c>
      <c r="G232">
        <v>100</v>
      </c>
      <c r="H232">
        <v>120</v>
      </c>
    </row>
    <row r="233" spans="1:8" x14ac:dyDescent="0.3">
      <c r="A233">
        <v>232</v>
      </c>
      <c r="B233">
        <f>_xlfn.XLOOKUP(C233,[1]Brand!$A$2:$A$88,[1]Brand!$B$2:$B$88)</f>
        <v>4</v>
      </c>
      <c r="C233">
        <v>25</v>
      </c>
      <c r="D233" t="s">
        <v>268</v>
      </c>
      <c r="E233" t="s">
        <v>286</v>
      </c>
      <c r="F233" t="s">
        <v>269</v>
      </c>
      <c r="G233">
        <v>45</v>
      </c>
      <c r="H233">
        <v>90</v>
      </c>
    </row>
    <row r="234" spans="1:8" x14ac:dyDescent="0.3">
      <c r="A234">
        <v>233</v>
      </c>
      <c r="B234">
        <f>_xlfn.XLOOKUP(C234,[1]Brand!$A$2:$A$88,[1]Brand!$B$2:$B$88)</f>
        <v>4</v>
      </c>
      <c r="C234">
        <v>25</v>
      </c>
      <c r="D234" t="s">
        <v>270</v>
      </c>
      <c r="E234" t="s">
        <v>286</v>
      </c>
      <c r="F234" t="s">
        <v>271</v>
      </c>
      <c r="G234">
        <v>280</v>
      </c>
      <c r="H234">
        <v>50</v>
      </c>
    </row>
    <row r="235" spans="1:8" x14ac:dyDescent="0.3">
      <c r="A235">
        <v>234</v>
      </c>
      <c r="B235">
        <f>_xlfn.XLOOKUP(C235,[1]Brand!$A$2:$A$88,[1]Brand!$B$2:$B$88)</f>
        <v>4</v>
      </c>
      <c r="C235">
        <v>25</v>
      </c>
      <c r="D235" t="s">
        <v>272</v>
      </c>
      <c r="E235" t="s">
        <v>286</v>
      </c>
      <c r="F235" t="s">
        <v>273</v>
      </c>
      <c r="G235">
        <v>55</v>
      </c>
      <c r="H235">
        <v>80</v>
      </c>
    </row>
    <row r="236" spans="1:8" x14ac:dyDescent="0.3">
      <c r="A236">
        <v>235</v>
      </c>
      <c r="B236">
        <f>_xlfn.XLOOKUP(C236,[1]Brand!$A$2:$A$88,[1]Brand!$B$2:$B$88)</f>
        <v>4</v>
      </c>
      <c r="C236">
        <v>25</v>
      </c>
      <c r="D236" t="s">
        <v>274</v>
      </c>
      <c r="E236" t="s">
        <v>286</v>
      </c>
      <c r="F236" t="s">
        <v>275</v>
      </c>
      <c r="G236">
        <v>12</v>
      </c>
      <c r="H236">
        <v>100</v>
      </c>
    </row>
    <row r="237" spans="1:8" x14ac:dyDescent="0.3">
      <c r="A237">
        <v>236</v>
      </c>
      <c r="B237">
        <f>_xlfn.XLOOKUP(C237,[1]Brand!$A$2:$A$88,[1]Brand!$B$2:$B$88)</f>
        <v>4</v>
      </c>
      <c r="C237">
        <v>25</v>
      </c>
      <c r="D237" t="s">
        <v>265</v>
      </c>
      <c r="E237" t="s">
        <v>286</v>
      </c>
      <c r="F237" t="s">
        <v>276</v>
      </c>
      <c r="G237">
        <v>95</v>
      </c>
      <c r="H237">
        <v>110</v>
      </c>
    </row>
    <row r="238" spans="1:8" x14ac:dyDescent="0.3">
      <c r="A238">
        <v>237</v>
      </c>
      <c r="B238">
        <f>_xlfn.XLOOKUP(C238,[1]Brand!$A$2:$A$88,[1]Brand!$B$2:$B$88)</f>
        <v>4</v>
      </c>
      <c r="C238">
        <v>25</v>
      </c>
      <c r="D238" t="s">
        <v>268</v>
      </c>
      <c r="E238" t="s">
        <v>286</v>
      </c>
      <c r="F238" t="s">
        <v>277</v>
      </c>
      <c r="G238">
        <v>70</v>
      </c>
      <c r="H238">
        <v>75</v>
      </c>
    </row>
    <row r="239" spans="1:8" x14ac:dyDescent="0.3">
      <c r="A239">
        <v>238</v>
      </c>
      <c r="B239">
        <f>_xlfn.XLOOKUP(C239,[1]Brand!$A$2:$A$88,[1]Brand!$B$2:$B$88)</f>
        <v>4</v>
      </c>
      <c r="C239">
        <v>25</v>
      </c>
      <c r="D239" t="s">
        <v>270</v>
      </c>
      <c r="E239" t="s">
        <v>286</v>
      </c>
      <c r="F239" t="s">
        <v>278</v>
      </c>
      <c r="G239">
        <v>320</v>
      </c>
      <c r="H239">
        <v>45</v>
      </c>
    </row>
    <row r="240" spans="1:8" x14ac:dyDescent="0.3">
      <c r="A240">
        <v>239</v>
      </c>
      <c r="B240">
        <f>_xlfn.XLOOKUP(C240,[1]Brand!$A$2:$A$88,[1]Brand!$B$2:$B$88)</f>
        <v>4</v>
      </c>
      <c r="C240">
        <v>25</v>
      </c>
      <c r="D240" t="s">
        <v>272</v>
      </c>
      <c r="E240" t="s">
        <v>286</v>
      </c>
      <c r="F240" t="s">
        <v>279</v>
      </c>
      <c r="G240">
        <v>75</v>
      </c>
      <c r="H240">
        <v>60</v>
      </c>
    </row>
    <row r="241" spans="1:8" x14ac:dyDescent="0.3">
      <c r="A241">
        <v>240</v>
      </c>
      <c r="B241">
        <f>_xlfn.XLOOKUP(C241,[1]Brand!$A$2:$A$88,[1]Brand!$B$2:$B$88)</f>
        <v>4</v>
      </c>
      <c r="C241">
        <v>25</v>
      </c>
      <c r="D241" t="s">
        <v>274</v>
      </c>
      <c r="E241" t="s">
        <v>286</v>
      </c>
      <c r="F241" t="s">
        <v>280</v>
      </c>
      <c r="G241">
        <v>65</v>
      </c>
      <c r="H241">
        <v>50</v>
      </c>
    </row>
    <row r="242" spans="1:8" x14ac:dyDescent="0.3">
      <c r="A242">
        <v>241</v>
      </c>
      <c r="B242">
        <f>_xlfn.XLOOKUP(C242,[1]Brand!$A$2:$A$88,[1]Brand!$B$2:$B$88)</f>
        <v>4</v>
      </c>
      <c r="C242">
        <v>26</v>
      </c>
      <c r="D242" t="s">
        <v>265</v>
      </c>
      <c r="E242" t="s">
        <v>287</v>
      </c>
      <c r="F242" t="s">
        <v>288</v>
      </c>
      <c r="G242">
        <v>60</v>
      </c>
      <c r="H242">
        <v>100</v>
      </c>
    </row>
    <row r="243" spans="1:8" x14ac:dyDescent="0.3">
      <c r="A243">
        <v>242</v>
      </c>
      <c r="B243">
        <f>_xlfn.XLOOKUP(C243,[1]Brand!$A$2:$A$88,[1]Brand!$B$2:$B$88)</f>
        <v>4</v>
      </c>
      <c r="C243">
        <v>26</v>
      </c>
      <c r="D243" t="s">
        <v>265</v>
      </c>
      <c r="E243" t="s">
        <v>287</v>
      </c>
      <c r="F243" t="s">
        <v>289</v>
      </c>
      <c r="G243">
        <v>350</v>
      </c>
      <c r="H243">
        <v>50</v>
      </c>
    </row>
    <row r="244" spans="1:8" x14ac:dyDescent="0.3">
      <c r="A244">
        <v>243</v>
      </c>
      <c r="B244">
        <f>_xlfn.XLOOKUP(C244,[1]Brand!$A$2:$A$88,[1]Brand!$B$2:$B$88)</f>
        <v>4</v>
      </c>
      <c r="C244">
        <v>26</v>
      </c>
      <c r="D244" t="s">
        <v>268</v>
      </c>
      <c r="E244" t="s">
        <v>287</v>
      </c>
      <c r="F244" t="s">
        <v>290</v>
      </c>
      <c r="G244">
        <v>70</v>
      </c>
      <c r="H244">
        <v>80</v>
      </c>
    </row>
    <row r="245" spans="1:8" x14ac:dyDescent="0.3">
      <c r="A245">
        <v>244</v>
      </c>
      <c r="B245">
        <f>_xlfn.XLOOKUP(C245,[1]Brand!$A$2:$A$88,[1]Brand!$B$2:$B$88)</f>
        <v>4</v>
      </c>
      <c r="C245">
        <v>26</v>
      </c>
      <c r="D245" t="s">
        <v>270</v>
      </c>
      <c r="E245" t="s">
        <v>287</v>
      </c>
      <c r="F245" t="s">
        <v>291</v>
      </c>
      <c r="G245">
        <v>350</v>
      </c>
      <c r="H245">
        <v>40</v>
      </c>
    </row>
    <row r="246" spans="1:8" x14ac:dyDescent="0.3">
      <c r="A246">
        <v>245</v>
      </c>
      <c r="B246">
        <f>_xlfn.XLOOKUP(C246,[1]Brand!$A$2:$A$88,[1]Brand!$B$2:$B$88)</f>
        <v>4</v>
      </c>
      <c r="C246">
        <v>26</v>
      </c>
      <c r="D246" t="s">
        <v>272</v>
      </c>
      <c r="E246" t="s">
        <v>287</v>
      </c>
      <c r="F246" t="s">
        <v>292</v>
      </c>
      <c r="G246">
        <v>75</v>
      </c>
      <c r="H246">
        <v>60</v>
      </c>
    </row>
    <row r="247" spans="1:8" x14ac:dyDescent="0.3">
      <c r="A247">
        <v>246</v>
      </c>
      <c r="B247">
        <f>_xlfn.XLOOKUP(C247,[1]Brand!$A$2:$A$88,[1]Brand!$B$2:$B$88)</f>
        <v>4</v>
      </c>
      <c r="C247">
        <v>27</v>
      </c>
      <c r="D247" t="s">
        <v>270</v>
      </c>
      <c r="E247" t="s">
        <v>293</v>
      </c>
      <c r="F247" t="s">
        <v>294</v>
      </c>
      <c r="G247">
        <v>450</v>
      </c>
      <c r="H247">
        <v>30</v>
      </c>
    </row>
    <row r="248" spans="1:8" x14ac:dyDescent="0.3">
      <c r="A248">
        <v>247</v>
      </c>
      <c r="B248">
        <f>_xlfn.XLOOKUP(C248,[1]Brand!$A$2:$A$88,[1]Brand!$B$2:$B$88)</f>
        <v>4</v>
      </c>
      <c r="C248">
        <v>27</v>
      </c>
      <c r="D248" t="s">
        <v>270</v>
      </c>
      <c r="E248" t="s">
        <v>293</v>
      </c>
      <c r="F248" t="s">
        <v>295</v>
      </c>
      <c r="G248">
        <v>600</v>
      </c>
      <c r="H248">
        <v>20</v>
      </c>
    </row>
    <row r="249" spans="1:8" x14ac:dyDescent="0.3">
      <c r="A249">
        <v>248</v>
      </c>
      <c r="B249">
        <f>_xlfn.XLOOKUP(C249,[1]Brand!$A$2:$A$88,[1]Brand!$B$2:$B$88)</f>
        <v>4</v>
      </c>
      <c r="C249">
        <v>27</v>
      </c>
      <c r="D249" t="s">
        <v>270</v>
      </c>
      <c r="E249" t="s">
        <v>293</v>
      </c>
      <c r="F249" t="s">
        <v>296</v>
      </c>
      <c r="G249">
        <v>1200</v>
      </c>
      <c r="H249">
        <v>15</v>
      </c>
    </row>
    <row r="250" spans="1:8" x14ac:dyDescent="0.3">
      <c r="A250">
        <v>249</v>
      </c>
      <c r="B250">
        <f>_xlfn.XLOOKUP(C250,[1]Brand!$A$2:$A$88,[1]Brand!$B$2:$B$88)</f>
        <v>4</v>
      </c>
      <c r="C250">
        <v>27</v>
      </c>
      <c r="D250" t="s">
        <v>270</v>
      </c>
      <c r="E250" t="s">
        <v>293</v>
      </c>
      <c r="F250" t="s">
        <v>297</v>
      </c>
      <c r="G250">
        <v>350</v>
      </c>
      <c r="H250">
        <v>25</v>
      </c>
    </row>
    <row r="251" spans="1:8" x14ac:dyDescent="0.3">
      <c r="A251">
        <v>250</v>
      </c>
      <c r="B251">
        <f>_xlfn.XLOOKUP(C251,[1]Brand!$A$2:$A$88,[1]Brand!$B$2:$B$88)</f>
        <v>4</v>
      </c>
      <c r="C251">
        <v>27</v>
      </c>
      <c r="D251" t="s">
        <v>270</v>
      </c>
      <c r="E251" t="s">
        <v>293</v>
      </c>
      <c r="F251" t="s">
        <v>298</v>
      </c>
      <c r="G251">
        <v>700</v>
      </c>
      <c r="H251">
        <v>40</v>
      </c>
    </row>
    <row r="252" spans="1:8" x14ac:dyDescent="0.3">
      <c r="A252">
        <v>251</v>
      </c>
      <c r="B252">
        <f>_xlfn.XLOOKUP(C252,[1]Brand!$A$2:$A$88,[1]Brand!$B$2:$B$88)</f>
        <v>4</v>
      </c>
      <c r="C252">
        <v>28</v>
      </c>
      <c r="D252" t="s">
        <v>270</v>
      </c>
      <c r="E252" t="s">
        <v>299</v>
      </c>
      <c r="F252" t="s">
        <v>300</v>
      </c>
      <c r="G252">
        <v>1500</v>
      </c>
      <c r="H252">
        <v>20</v>
      </c>
    </row>
    <row r="253" spans="1:8" x14ac:dyDescent="0.3">
      <c r="A253">
        <v>252</v>
      </c>
      <c r="B253">
        <f>_xlfn.XLOOKUP(C253,[1]Brand!$A$2:$A$88,[1]Brand!$B$2:$B$88)</f>
        <v>4</v>
      </c>
      <c r="C253">
        <v>28</v>
      </c>
      <c r="D253" t="s">
        <v>270</v>
      </c>
      <c r="E253" t="s">
        <v>299</v>
      </c>
      <c r="F253" t="s">
        <v>301</v>
      </c>
      <c r="G253">
        <v>400</v>
      </c>
      <c r="H253">
        <v>35</v>
      </c>
    </row>
    <row r="254" spans="1:8" x14ac:dyDescent="0.3">
      <c r="A254">
        <v>253</v>
      </c>
      <c r="B254">
        <f>_xlfn.XLOOKUP(C254,[1]Brand!$A$2:$A$88,[1]Brand!$B$2:$B$88)</f>
        <v>4</v>
      </c>
      <c r="C254">
        <v>28</v>
      </c>
      <c r="D254" t="s">
        <v>270</v>
      </c>
      <c r="E254" t="s">
        <v>299</v>
      </c>
      <c r="F254" t="s">
        <v>302</v>
      </c>
      <c r="G254">
        <v>800</v>
      </c>
      <c r="H254">
        <v>25</v>
      </c>
    </row>
    <row r="255" spans="1:8" x14ac:dyDescent="0.3">
      <c r="A255">
        <v>254</v>
      </c>
      <c r="B255">
        <f>_xlfn.XLOOKUP(C255,[1]Brand!$A$2:$A$88,[1]Brand!$B$2:$B$88)</f>
        <v>4</v>
      </c>
      <c r="C255">
        <v>28</v>
      </c>
      <c r="D255" t="s">
        <v>270</v>
      </c>
      <c r="E255" t="s">
        <v>299</v>
      </c>
      <c r="F255" t="s">
        <v>303</v>
      </c>
      <c r="G255">
        <v>600</v>
      </c>
      <c r="H255">
        <v>30</v>
      </c>
    </row>
    <row r="256" spans="1:8" x14ac:dyDescent="0.3">
      <c r="A256">
        <v>255</v>
      </c>
      <c r="B256">
        <f>_xlfn.XLOOKUP(C256,[1]Brand!$A$2:$A$88,[1]Brand!$B$2:$B$88)</f>
        <v>4</v>
      </c>
      <c r="C256">
        <v>28</v>
      </c>
      <c r="D256" t="s">
        <v>270</v>
      </c>
      <c r="E256" t="s">
        <v>299</v>
      </c>
      <c r="F256" t="s">
        <v>304</v>
      </c>
      <c r="G256">
        <v>1200</v>
      </c>
      <c r="H256">
        <v>15</v>
      </c>
    </row>
    <row r="257" spans="1:8" x14ac:dyDescent="0.3">
      <c r="A257">
        <v>256</v>
      </c>
      <c r="B257">
        <f>_xlfn.XLOOKUP(C257,[1]Brand!$A$2:$A$88,[1]Brand!$B$2:$B$88)</f>
        <v>5</v>
      </c>
      <c r="C257">
        <v>29</v>
      </c>
      <c r="D257" t="s">
        <v>272</v>
      </c>
      <c r="E257" t="s">
        <v>305</v>
      </c>
      <c r="F257" t="s">
        <v>306</v>
      </c>
      <c r="G257">
        <v>120</v>
      </c>
    </row>
    <row r="258" spans="1:8" x14ac:dyDescent="0.3">
      <c r="A258">
        <v>257</v>
      </c>
      <c r="B258">
        <f>_xlfn.XLOOKUP(C258,[1]Brand!$A$2:$A$88,[1]Brand!$B$2:$B$88)</f>
        <v>5</v>
      </c>
      <c r="C258">
        <v>29</v>
      </c>
      <c r="D258" t="s">
        <v>272</v>
      </c>
      <c r="E258" t="s">
        <v>305</v>
      </c>
      <c r="F258" t="s">
        <v>307</v>
      </c>
      <c r="G258">
        <v>220</v>
      </c>
      <c r="H258">
        <v>40</v>
      </c>
    </row>
    <row r="259" spans="1:8" x14ac:dyDescent="0.3">
      <c r="A259">
        <v>258</v>
      </c>
      <c r="B259">
        <f>_xlfn.XLOOKUP(C259,[1]Brand!$A$2:$A$88,[1]Brand!$B$2:$B$88)</f>
        <v>5</v>
      </c>
      <c r="C259">
        <v>29</v>
      </c>
      <c r="D259" t="s">
        <v>272</v>
      </c>
      <c r="E259" t="s">
        <v>305</v>
      </c>
      <c r="F259" t="s">
        <v>308</v>
      </c>
      <c r="G259">
        <v>150</v>
      </c>
      <c r="H259">
        <v>60</v>
      </c>
    </row>
    <row r="260" spans="1:8" x14ac:dyDescent="0.3">
      <c r="A260">
        <v>259</v>
      </c>
      <c r="B260">
        <f>_xlfn.XLOOKUP(C260,[1]Brand!$A$2:$A$88,[1]Brand!$B$2:$B$88)</f>
        <v>5</v>
      </c>
      <c r="C260">
        <v>29</v>
      </c>
      <c r="D260" t="s">
        <v>272</v>
      </c>
      <c r="E260" t="s">
        <v>305</v>
      </c>
      <c r="F260" t="s">
        <v>309</v>
      </c>
      <c r="G260">
        <v>230</v>
      </c>
      <c r="H260">
        <v>45</v>
      </c>
    </row>
    <row r="261" spans="1:8" x14ac:dyDescent="0.3">
      <c r="A261">
        <v>260</v>
      </c>
      <c r="B261">
        <f>_xlfn.XLOOKUP(C261,[1]Brand!$A$2:$A$88,[1]Brand!$B$2:$B$88)</f>
        <v>5</v>
      </c>
      <c r="C261">
        <v>29</v>
      </c>
      <c r="D261" t="s">
        <v>272</v>
      </c>
      <c r="E261" t="s">
        <v>305</v>
      </c>
      <c r="F261" t="s">
        <v>310</v>
      </c>
      <c r="G261">
        <v>170</v>
      </c>
      <c r="H261">
        <v>55</v>
      </c>
    </row>
    <row r="262" spans="1:8" x14ac:dyDescent="0.3">
      <c r="A262">
        <v>261</v>
      </c>
      <c r="B262">
        <f>_xlfn.XLOOKUP(C262,[1]Brand!$A$2:$A$88,[1]Brand!$B$2:$B$88)</f>
        <v>5</v>
      </c>
      <c r="C262">
        <v>30</v>
      </c>
      <c r="D262" t="s">
        <v>272</v>
      </c>
      <c r="E262" t="s">
        <v>311</v>
      </c>
      <c r="F262" t="s">
        <v>312</v>
      </c>
      <c r="G262">
        <v>299</v>
      </c>
      <c r="H262">
        <v>50</v>
      </c>
    </row>
    <row r="263" spans="1:8" x14ac:dyDescent="0.3">
      <c r="A263">
        <v>262</v>
      </c>
      <c r="B263">
        <f>_xlfn.XLOOKUP(C263,[1]Brand!$A$2:$A$88,[1]Brand!$B$2:$B$88)</f>
        <v>5</v>
      </c>
      <c r="C263">
        <v>30</v>
      </c>
      <c r="D263" t="s">
        <v>272</v>
      </c>
      <c r="E263" t="s">
        <v>311</v>
      </c>
      <c r="F263" t="s">
        <v>313</v>
      </c>
      <c r="G263">
        <v>349</v>
      </c>
      <c r="H263">
        <v>40</v>
      </c>
    </row>
    <row r="264" spans="1:8" x14ac:dyDescent="0.3">
      <c r="A264">
        <v>263</v>
      </c>
      <c r="B264">
        <f>_xlfn.XLOOKUP(C264,[1]Brand!$A$2:$A$88,[1]Brand!$B$2:$B$88)</f>
        <v>5</v>
      </c>
      <c r="C264">
        <v>30</v>
      </c>
      <c r="D264" t="s">
        <v>272</v>
      </c>
      <c r="E264" t="s">
        <v>311</v>
      </c>
      <c r="F264" t="s">
        <v>314</v>
      </c>
      <c r="G264">
        <v>399</v>
      </c>
      <c r="H264">
        <v>30</v>
      </c>
    </row>
    <row r="265" spans="1:8" x14ac:dyDescent="0.3">
      <c r="A265">
        <v>264</v>
      </c>
      <c r="B265">
        <f>_xlfn.XLOOKUP(C265,[1]Brand!$A$2:$A$88,[1]Brand!$B$2:$B$88)</f>
        <v>5</v>
      </c>
      <c r="C265">
        <v>30</v>
      </c>
      <c r="D265" t="s">
        <v>272</v>
      </c>
      <c r="E265" t="s">
        <v>311</v>
      </c>
      <c r="F265" t="s">
        <v>315</v>
      </c>
      <c r="G265">
        <v>199</v>
      </c>
      <c r="H265">
        <v>60</v>
      </c>
    </row>
    <row r="266" spans="1:8" x14ac:dyDescent="0.3">
      <c r="A266">
        <v>265</v>
      </c>
      <c r="B266">
        <f>_xlfn.XLOOKUP(C266,[1]Brand!$A$2:$A$88,[1]Brand!$B$2:$B$88)</f>
        <v>5</v>
      </c>
      <c r="C266">
        <v>30</v>
      </c>
      <c r="D266" t="s">
        <v>272</v>
      </c>
      <c r="E266" t="s">
        <v>311</v>
      </c>
      <c r="F266" t="s">
        <v>316</v>
      </c>
      <c r="G266">
        <v>249</v>
      </c>
      <c r="H266">
        <v>45</v>
      </c>
    </row>
    <row r="267" spans="1:8" x14ac:dyDescent="0.3">
      <c r="A267">
        <v>266</v>
      </c>
      <c r="B267">
        <f>_xlfn.XLOOKUP(C267,[1]Brand!$A$2:$A$88,[1]Brand!$B$2:$B$88)</f>
        <v>6</v>
      </c>
      <c r="C267">
        <v>31</v>
      </c>
      <c r="D267" t="s">
        <v>270</v>
      </c>
      <c r="E267" t="s">
        <v>317</v>
      </c>
      <c r="F267" t="s">
        <v>318</v>
      </c>
      <c r="G267">
        <v>800</v>
      </c>
      <c r="H267">
        <v>25</v>
      </c>
    </row>
    <row r="268" spans="1:8" x14ac:dyDescent="0.3">
      <c r="A268">
        <v>267</v>
      </c>
      <c r="B268">
        <f>_xlfn.XLOOKUP(C268,[1]Brand!$A$2:$A$88,[1]Brand!$B$2:$B$88)</f>
        <v>6</v>
      </c>
      <c r="C268">
        <v>31</v>
      </c>
      <c r="D268" t="s">
        <v>270</v>
      </c>
      <c r="E268" t="s">
        <v>317</v>
      </c>
      <c r="F268" t="s">
        <v>319</v>
      </c>
      <c r="G268">
        <v>999</v>
      </c>
      <c r="H268">
        <v>20</v>
      </c>
    </row>
    <row r="269" spans="1:8" x14ac:dyDescent="0.3">
      <c r="A269">
        <v>268</v>
      </c>
      <c r="B269">
        <f>_xlfn.XLOOKUP(C269,[1]Brand!$A$2:$A$88,[1]Brand!$B$2:$B$88)</f>
        <v>6</v>
      </c>
      <c r="C269">
        <v>31</v>
      </c>
      <c r="D269" t="s">
        <v>270</v>
      </c>
      <c r="E269" t="s">
        <v>317</v>
      </c>
      <c r="F269" t="s">
        <v>320</v>
      </c>
      <c r="G269">
        <v>500</v>
      </c>
      <c r="H269">
        <v>30</v>
      </c>
    </row>
    <row r="270" spans="1:8" x14ac:dyDescent="0.3">
      <c r="A270">
        <v>269</v>
      </c>
      <c r="B270">
        <f>_xlfn.XLOOKUP(C270,[1]Brand!$A$2:$A$88,[1]Brand!$B$2:$B$88)</f>
        <v>6</v>
      </c>
      <c r="C270">
        <v>31</v>
      </c>
      <c r="D270" t="s">
        <v>270</v>
      </c>
      <c r="E270" t="s">
        <v>317</v>
      </c>
      <c r="F270" t="s">
        <v>321</v>
      </c>
      <c r="G270">
        <v>1500</v>
      </c>
      <c r="H270">
        <v>15</v>
      </c>
    </row>
    <row r="271" spans="1:8" x14ac:dyDescent="0.3">
      <c r="A271">
        <v>270</v>
      </c>
      <c r="B271">
        <f>_xlfn.XLOOKUP(C271,[1]Brand!$A$2:$A$88,[1]Brand!$B$2:$B$88)</f>
        <v>6</v>
      </c>
      <c r="C271">
        <v>31</v>
      </c>
      <c r="D271" t="s">
        <v>270</v>
      </c>
      <c r="E271" t="s">
        <v>317</v>
      </c>
      <c r="F271" t="s">
        <v>322</v>
      </c>
      <c r="G271">
        <v>700</v>
      </c>
      <c r="H271">
        <v>35</v>
      </c>
    </row>
    <row r="272" spans="1:8" x14ac:dyDescent="0.3">
      <c r="A272">
        <v>271</v>
      </c>
      <c r="B272">
        <f>_xlfn.XLOOKUP(C272,[1]Brand!$A$2:$A$88,[1]Brand!$B$2:$B$88)</f>
        <v>6</v>
      </c>
      <c r="C272">
        <v>32</v>
      </c>
      <c r="D272" t="s">
        <v>270</v>
      </c>
      <c r="E272" t="s">
        <v>323</v>
      </c>
      <c r="F272" t="s">
        <v>324</v>
      </c>
      <c r="G272">
        <v>150</v>
      </c>
      <c r="H272">
        <v>40</v>
      </c>
    </row>
    <row r="273" spans="1:8" x14ac:dyDescent="0.3">
      <c r="A273">
        <v>272</v>
      </c>
      <c r="B273">
        <f>_xlfn.XLOOKUP(C273,[1]Brand!$A$2:$A$88,[1]Brand!$B$2:$B$88)</f>
        <v>6</v>
      </c>
      <c r="C273">
        <v>32</v>
      </c>
      <c r="D273" t="s">
        <v>270</v>
      </c>
      <c r="E273" t="s">
        <v>323</v>
      </c>
      <c r="F273" t="s">
        <v>325</v>
      </c>
      <c r="G273">
        <v>300</v>
      </c>
      <c r="H273">
        <v>30</v>
      </c>
    </row>
    <row r="274" spans="1:8" x14ac:dyDescent="0.3">
      <c r="A274">
        <v>273</v>
      </c>
      <c r="B274">
        <f>_xlfn.XLOOKUP(C274,[1]Brand!$A$2:$A$88,[1]Brand!$B$2:$B$88)</f>
        <v>6</v>
      </c>
      <c r="C274">
        <v>32</v>
      </c>
      <c r="D274" t="s">
        <v>270</v>
      </c>
      <c r="E274" t="s">
        <v>323</v>
      </c>
      <c r="F274" t="s">
        <v>326</v>
      </c>
      <c r="G274">
        <v>800</v>
      </c>
      <c r="H274">
        <v>20</v>
      </c>
    </row>
    <row r="275" spans="1:8" x14ac:dyDescent="0.3">
      <c r="A275">
        <v>274</v>
      </c>
      <c r="B275">
        <f>_xlfn.XLOOKUP(C275,[1]Brand!$A$2:$A$88,[1]Brand!$B$2:$B$88)</f>
        <v>6</v>
      </c>
      <c r="C275">
        <v>32</v>
      </c>
      <c r="D275" t="s">
        <v>270</v>
      </c>
      <c r="E275" t="s">
        <v>323</v>
      </c>
      <c r="F275" t="s">
        <v>327</v>
      </c>
      <c r="G275">
        <v>1200</v>
      </c>
      <c r="H275">
        <v>15</v>
      </c>
    </row>
    <row r="276" spans="1:8" x14ac:dyDescent="0.3">
      <c r="A276">
        <v>275</v>
      </c>
      <c r="B276">
        <f>_xlfn.XLOOKUP(C276,[1]Brand!$A$2:$A$88,[1]Brand!$B$2:$B$88)</f>
        <v>6</v>
      </c>
      <c r="C276">
        <v>32</v>
      </c>
      <c r="D276" t="s">
        <v>270</v>
      </c>
      <c r="E276" t="s">
        <v>323</v>
      </c>
      <c r="F276" t="s">
        <v>328</v>
      </c>
      <c r="G276">
        <v>600</v>
      </c>
      <c r="H276">
        <v>25</v>
      </c>
    </row>
    <row r="277" spans="1:8" x14ac:dyDescent="0.3">
      <c r="A277">
        <v>276</v>
      </c>
      <c r="B277">
        <f>_xlfn.XLOOKUP(C277,[1]Brand!$A$2:$A$88,[1]Brand!$B$2:$B$88)</f>
        <v>6</v>
      </c>
      <c r="C277">
        <v>33</v>
      </c>
      <c r="D277" t="s">
        <v>270</v>
      </c>
      <c r="E277" t="s">
        <v>329</v>
      </c>
      <c r="F277" t="s">
        <v>326</v>
      </c>
      <c r="G277">
        <v>900</v>
      </c>
      <c r="H277">
        <v>25</v>
      </c>
    </row>
    <row r="278" spans="1:8" x14ac:dyDescent="0.3">
      <c r="A278">
        <v>277</v>
      </c>
      <c r="B278">
        <f>_xlfn.XLOOKUP(C278,[1]Brand!$A$2:$A$88,[1]Brand!$B$2:$B$88)</f>
        <v>6</v>
      </c>
      <c r="C278">
        <v>33</v>
      </c>
      <c r="D278" t="s">
        <v>270</v>
      </c>
      <c r="E278" t="s">
        <v>329</v>
      </c>
      <c r="F278" t="s">
        <v>330</v>
      </c>
      <c r="G278">
        <v>350</v>
      </c>
      <c r="H278">
        <v>40</v>
      </c>
    </row>
    <row r="279" spans="1:8" x14ac:dyDescent="0.3">
      <c r="A279">
        <v>278</v>
      </c>
      <c r="B279">
        <f>_xlfn.XLOOKUP(C279,[1]Brand!$A$2:$A$88,[1]Brand!$B$2:$B$88)</f>
        <v>6</v>
      </c>
      <c r="C279">
        <v>33</v>
      </c>
      <c r="D279" t="s">
        <v>270</v>
      </c>
      <c r="E279" t="s">
        <v>329</v>
      </c>
      <c r="F279" t="s">
        <v>331</v>
      </c>
      <c r="G279">
        <v>1200</v>
      </c>
      <c r="H279">
        <v>20</v>
      </c>
    </row>
    <row r="280" spans="1:8" x14ac:dyDescent="0.3">
      <c r="A280">
        <v>279</v>
      </c>
      <c r="B280">
        <f>_xlfn.XLOOKUP(C280,[1]Brand!$A$2:$A$88,[1]Brand!$B$2:$B$88)</f>
        <v>6</v>
      </c>
      <c r="C280">
        <v>33</v>
      </c>
      <c r="D280" t="s">
        <v>270</v>
      </c>
      <c r="E280" t="s">
        <v>329</v>
      </c>
      <c r="F280" t="s">
        <v>332</v>
      </c>
      <c r="G280">
        <v>300</v>
      </c>
    </row>
    <row r="281" spans="1:8" x14ac:dyDescent="0.3">
      <c r="A281">
        <v>280</v>
      </c>
      <c r="B281">
        <f>_xlfn.XLOOKUP(C281,[1]Brand!$A$2:$A$88,[1]Brand!$B$2:$B$88)</f>
        <v>6</v>
      </c>
      <c r="C281">
        <v>33</v>
      </c>
      <c r="D281" t="s">
        <v>270</v>
      </c>
      <c r="E281" t="s">
        <v>329</v>
      </c>
      <c r="F281" t="s">
        <v>333</v>
      </c>
      <c r="G281">
        <v>800</v>
      </c>
      <c r="H281">
        <v>30</v>
      </c>
    </row>
    <row r="282" spans="1:8" x14ac:dyDescent="0.3">
      <c r="A282">
        <v>281</v>
      </c>
      <c r="B282">
        <f>_xlfn.XLOOKUP(C282,[1]Brand!$A$2:$A$88,[1]Brand!$B$2:$B$88)</f>
        <v>6</v>
      </c>
      <c r="C282">
        <v>34</v>
      </c>
      <c r="D282" t="s">
        <v>270</v>
      </c>
      <c r="E282" t="s">
        <v>334</v>
      </c>
      <c r="F282" t="s">
        <v>326</v>
      </c>
      <c r="G282">
        <v>1200</v>
      </c>
      <c r="H282">
        <v>20</v>
      </c>
    </row>
    <row r="283" spans="1:8" x14ac:dyDescent="0.3">
      <c r="A283">
        <v>282</v>
      </c>
      <c r="B283">
        <f>_xlfn.XLOOKUP(C283,[1]Brand!$A$2:$A$88,[1]Brand!$B$2:$B$88)</f>
        <v>6</v>
      </c>
      <c r="C283">
        <v>34</v>
      </c>
      <c r="D283" t="s">
        <v>270</v>
      </c>
      <c r="E283" t="s">
        <v>334</v>
      </c>
      <c r="F283" t="s">
        <v>330</v>
      </c>
      <c r="G283">
        <v>400</v>
      </c>
      <c r="H283">
        <v>35</v>
      </c>
    </row>
    <row r="284" spans="1:8" x14ac:dyDescent="0.3">
      <c r="A284">
        <v>283</v>
      </c>
      <c r="B284">
        <f>_xlfn.XLOOKUP(C284,[1]Brand!$A$2:$A$88,[1]Brand!$B$2:$B$88)</f>
        <v>6</v>
      </c>
      <c r="C284">
        <v>34</v>
      </c>
      <c r="D284" t="s">
        <v>270</v>
      </c>
      <c r="E284" t="s">
        <v>334</v>
      </c>
      <c r="F284" t="s">
        <v>331</v>
      </c>
      <c r="G284">
        <v>1500</v>
      </c>
      <c r="H284">
        <v>15</v>
      </c>
    </row>
    <row r="285" spans="1:8" x14ac:dyDescent="0.3">
      <c r="A285">
        <v>284</v>
      </c>
      <c r="B285">
        <f>_xlfn.XLOOKUP(C285,[1]Brand!$A$2:$A$88,[1]Brand!$B$2:$B$88)</f>
        <v>6</v>
      </c>
      <c r="C285">
        <v>34</v>
      </c>
      <c r="D285" t="s">
        <v>270</v>
      </c>
      <c r="E285" t="s">
        <v>334</v>
      </c>
      <c r="F285" t="s">
        <v>332</v>
      </c>
      <c r="G285">
        <v>350</v>
      </c>
      <c r="H285">
        <v>40</v>
      </c>
    </row>
    <row r="286" spans="1:8" x14ac:dyDescent="0.3">
      <c r="A286">
        <v>285</v>
      </c>
      <c r="B286">
        <f>_xlfn.XLOOKUP(C286,[1]Brand!$A$2:$A$88,[1]Brand!$B$2:$B$88)</f>
        <v>6</v>
      </c>
      <c r="C286">
        <v>34</v>
      </c>
      <c r="D286" t="s">
        <v>270</v>
      </c>
      <c r="E286" t="s">
        <v>334</v>
      </c>
      <c r="F286" t="s">
        <v>333</v>
      </c>
      <c r="G286">
        <v>1000</v>
      </c>
      <c r="H286">
        <v>25</v>
      </c>
    </row>
    <row r="287" spans="1:8" x14ac:dyDescent="0.3">
      <c r="A287">
        <v>286</v>
      </c>
      <c r="B287">
        <f>_xlfn.XLOOKUP(C287,[1]Brand!$A$2:$A$88,[1]Brand!$B$2:$B$88)</f>
        <v>6</v>
      </c>
      <c r="C287">
        <v>35</v>
      </c>
      <c r="D287" t="s">
        <v>270</v>
      </c>
      <c r="E287" t="s">
        <v>335</v>
      </c>
      <c r="F287" t="s">
        <v>336</v>
      </c>
      <c r="G287">
        <v>1200</v>
      </c>
      <c r="H287">
        <v>20</v>
      </c>
    </row>
    <row r="288" spans="1:8" x14ac:dyDescent="0.3">
      <c r="A288">
        <v>287</v>
      </c>
      <c r="B288">
        <f>_xlfn.XLOOKUP(C288,[1]Brand!$A$2:$A$88,[1]Brand!$B$2:$B$88)</f>
        <v>6</v>
      </c>
      <c r="C288">
        <v>35</v>
      </c>
      <c r="D288" t="s">
        <v>270</v>
      </c>
      <c r="E288" t="s">
        <v>335</v>
      </c>
      <c r="F288" t="s">
        <v>326</v>
      </c>
      <c r="G288">
        <v>1500</v>
      </c>
      <c r="H288">
        <v>25</v>
      </c>
    </row>
    <row r="289" spans="1:8" x14ac:dyDescent="0.3">
      <c r="A289">
        <v>288</v>
      </c>
      <c r="B289">
        <f>_xlfn.XLOOKUP(C289,[1]Brand!$A$2:$A$88,[1]Brand!$B$2:$B$88)</f>
        <v>6</v>
      </c>
      <c r="C289">
        <v>35</v>
      </c>
      <c r="D289" t="s">
        <v>270</v>
      </c>
      <c r="E289" t="s">
        <v>335</v>
      </c>
      <c r="F289" t="s">
        <v>320</v>
      </c>
      <c r="G289">
        <v>500</v>
      </c>
      <c r="H289">
        <v>30</v>
      </c>
    </row>
    <row r="290" spans="1:8" x14ac:dyDescent="0.3">
      <c r="A290">
        <v>289</v>
      </c>
      <c r="B290">
        <f>_xlfn.XLOOKUP(C290,[1]Brand!$A$2:$A$88,[1]Brand!$B$2:$B$88)</f>
        <v>6</v>
      </c>
      <c r="C290">
        <v>35</v>
      </c>
      <c r="D290" t="s">
        <v>270</v>
      </c>
      <c r="E290" t="s">
        <v>335</v>
      </c>
      <c r="F290" t="s">
        <v>321</v>
      </c>
      <c r="G290">
        <v>1800</v>
      </c>
      <c r="H290">
        <v>15</v>
      </c>
    </row>
    <row r="291" spans="1:8" x14ac:dyDescent="0.3">
      <c r="A291">
        <v>290</v>
      </c>
      <c r="B291">
        <f>_xlfn.XLOOKUP(C291,[1]Brand!$A$2:$A$88,[1]Brand!$B$2:$B$88)</f>
        <v>6</v>
      </c>
      <c r="C291">
        <v>35</v>
      </c>
      <c r="D291" t="s">
        <v>270</v>
      </c>
      <c r="E291" t="s">
        <v>335</v>
      </c>
      <c r="F291" t="s">
        <v>332</v>
      </c>
      <c r="G291">
        <v>400</v>
      </c>
      <c r="H291">
        <v>35</v>
      </c>
    </row>
    <row r="292" spans="1:8" x14ac:dyDescent="0.3">
      <c r="A292">
        <v>291</v>
      </c>
      <c r="B292">
        <f>_xlfn.XLOOKUP(C292,[1]Brand!$A$2:$A$88,[1]Brand!$B$2:$B$88)</f>
        <v>7</v>
      </c>
      <c r="C292">
        <v>36</v>
      </c>
      <c r="D292" t="s">
        <v>337</v>
      </c>
      <c r="E292" t="s">
        <v>338</v>
      </c>
      <c r="F292" t="s">
        <v>339</v>
      </c>
      <c r="G292">
        <v>150</v>
      </c>
      <c r="H292">
        <v>50</v>
      </c>
    </row>
    <row r="293" spans="1:8" x14ac:dyDescent="0.3">
      <c r="A293">
        <v>292</v>
      </c>
      <c r="B293">
        <f>_xlfn.XLOOKUP(C293,[1]Brand!$A$2:$A$88,[1]Brand!$B$2:$B$88)</f>
        <v>7</v>
      </c>
      <c r="C293">
        <v>36</v>
      </c>
      <c r="D293" t="s">
        <v>337</v>
      </c>
      <c r="E293" t="s">
        <v>338</v>
      </c>
      <c r="F293" t="s">
        <v>340</v>
      </c>
      <c r="G293">
        <v>3500</v>
      </c>
      <c r="H293">
        <v>20</v>
      </c>
    </row>
    <row r="294" spans="1:8" x14ac:dyDescent="0.3">
      <c r="A294">
        <v>293</v>
      </c>
      <c r="B294">
        <f>_xlfn.XLOOKUP(C294,[1]Brand!$A$2:$A$88,[1]Brand!$B$2:$B$88)</f>
        <v>7</v>
      </c>
      <c r="C294">
        <v>36</v>
      </c>
      <c r="D294" t="s">
        <v>272</v>
      </c>
      <c r="E294" t="s">
        <v>338</v>
      </c>
      <c r="F294" t="s">
        <v>341</v>
      </c>
      <c r="G294">
        <v>850</v>
      </c>
      <c r="H294">
        <v>30</v>
      </c>
    </row>
    <row r="295" spans="1:8" x14ac:dyDescent="0.3">
      <c r="A295">
        <v>294</v>
      </c>
      <c r="B295">
        <f>_xlfn.XLOOKUP(C295,[1]Brand!$A$2:$A$88,[1]Brand!$B$2:$B$88)</f>
        <v>7</v>
      </c>
      <c r="C295">
        <v>36</v>
      </c>
      <c r="D295" t="s">
        <v>272</v>
      </c>
      <c r="E295" t="s">
        <v>338</v>
      </c>
      <c r="F295" t="s">
        <v>342</v>
      </c>
      <c r="G295">
        <v>1400</v>
      </c>
      <c r="H295">
        <v>25</v>
      </c>
    </row>
    <row r="296" spans="1:8" x14ac:dyDescent="0.3">
      <c r="A296">
        <v>295</v>
      </c>
      <c r="B296">
        <f>_xlfn.XLOOKUP(C296,[1]Brand!$A$2:$A$88,[1]Brand!$B$2:$B$88)</f>
        <v>7</v>
      </c>
      <c r="C296">
        <v>36</v>
      </c>
      <c r="D296" t="s">
        <v>337</v>
      </c>
      <c r="E296" t="s">
        <v>338</v>
      </c>
      <c r="F296" t="s">
        <v>343</v>
      </c>
      <c r="G296">
        <v>2500</v>
      </c>
      <c r="H296">
        <v>15</v>
      </c>
    </row>
    <row r="297" spans="1:8" x14ac:dyDescent="0.3">
      <c r="A297">
        <v>296</v>
      </c>
      <c r="B297">
        <f>_xlfn.XLOOKUP(C297,[1]Brand!$A$2:$A$88,[1]Brand!$B$2:$B$88)</f>
        <v>7</v>
      </c>
      <c r="C297">
        <v>36</v>
      </c>
      <c r="D297" t="s">
        <v>337</v>
      </c>
      <c r="E297" t="s">
        <v>338</v>
      </c>
      <c r="F297" t="s">
        <v>344</v>
      </c>
      <c r="G297">
        <v>100</v>
      </c>
      <c r="H297">
        <v>60</v>
      </c>
    </row>
    <row r="298" spans="1:8" x14ac:dyDescent="0.3">
      <c r="A298">
        <v>297</v>
      </c>
      <c r="B298">
        <f>_xlfn.XLOOKUP(C298,[1]Brand!$A$2:$A$88,[1]Brand!$B$2:$B$88)</f>
        <v>7</v>
      </c>
      <c r="C298">
        <v>36</v>
      </c>
      <c r="D298" t="s">
        <v>337</v>
      </c>
      <c r="E298" t="s">
        <v>338</v>
      </c>
      <c r="F298" t="s">
        <v>345</v>
      </c>
      <c r="G298">
        <v>1500</v>
      </c>
      <c r="H298">
        <v>25</v>
      </c>
    </row>
    <row r="299" spans="1:8" x14ac:dyDescent="0.3">
      <c r="A299">
        <v>298</v>
      </c>
      <c r="B299">
        <f>_xlfn.XLOOKUP(C299,[1]Brand!$A$2:$A$88,[1]Brand!$B$2:$B$88)</f>
        <v>7</v>
      </c>
      <c r="C299">
        <v>36</v>
      </c>
      <c r="D299" t="s">
        <v>272</v>
      </c>
      <c r="E299" t="s">
        <v>338</v>
      </c>
      <c r="F299" t="s">
        <v>346</v>
      </c>
      <c r="G299">
        <v>1200</v>
      </c>
      <c r="H299">
        <v>35</v>
      </c>
    </row>
    <row r="300" spans="1:8" x14ac:dyDescent="0.3">
      <c r="A300">
        <v>299</v>
      </c>
      <c r="B300">
        <f>_xlfn.XLOOKUP(C300,[1]Brand!$A$2:$A$88,[1]Brand!$B$2:$B$88)</f>
        <v>7</v>
      </c>
      <c r="C300">
        <v>36</v>
      </c>
      <c r="D300" t="s">
        <v>337</v>
      </c>
      <c r="E300" t="s">
        <v>338</v>
      </c>
      <c r="F300" t="s">
        <v>347</v>
      </c>
      <c r="G300">
        <v>7000</v>
      </c>
      <c r="H300">
        <v>10</v>
      </c>
    </row>
    <row r="301" spans="1:8" x14ac:dyDescent="0.3">
      <c r="A301">
        <v>300</v>
      </c>
      <c r="B301">
        <f>_xlfn.XLOOKUP(C301,[1]Brand!$A$2:$A$88,[1]Brand!$B$2:$B$88)</f>
        <v>7</v>
      </c>
      <c r="C301">
        <v>36</v>
      </c>
      <c r="D301" t="s">
        <v>272</v>
      </c>
      <c r="E301" t="s">
        <v>338</v>
      </c>
      <c r="F301" t="s">
        <v>348</v>
      </c>
      <c r="G301">
        <v>2000</v>
      </c>
      <c r="H301">
        <v>20</v>
      </c>
    </row>
    <row r="302" spans="1:8" x14ac:dyDescent="0.3">
      <c r="A302">
        <v>301</v>
      </c>
      <c r="B302">
        <f>_xlfn.XLOOKUP(C302,[1]Brand!$A$2:$A$88,[1]Brand!$B$2:$B$88)</f>
        <v>7</v>
      </c>
      <c r="C302">
        <v>37</v>
      </c>
      <c r="D302" t="s">
        <v>337</v>
      </c>
      <c r="E302" t="s">
        <v>349</v>
      </c>
      <c r="F302" t="s">
        <v>350</v>
      </c>
      <c r="G302">
        <v>1200</v>
      </c>
      <c r="H302">
        <v>30</v>
      </c>
    </row>
    <row r="303" spans="1:8" x14ac:dyDescent="0.3">
      <c r="A303">
        <v>302</v>
      </c>
      <c r="B303">
        <f>_xlfn.XLOOKUP(C303,[1]Brand!$A$2:$A$88,[1]Brand!$B$2:$B$88)</f>
        <v>7</v>
      </c>
      <c r="C303">
        <v>37</v>
      </c>
      <c r="D303" t="s">
        <v>337</v>
      </c>
      <c r="E303" t="s">
        <v>349</v>
      </c>
      <c r="F303" t="s">
        <v>351</v>
      </c>
      <c r="G303">
        <v>800</v>
      </c>
      <c r="H303">
        <v>40</v>
      </c>
    </row>
    <row r="304" spans="1:8" x14ac:dyDescent="0.3">
      <c r="A304">
        <v>303</v>
      </c>
      <c r="B304">
        <f>_xlfn.XLOOKUP(C304,[1]Brand!$A$2:$A$88,[1]Brand!$B$2:$B$88)</f>
        <v>7</v>
      </c>
      <c r="C304">
        <v>37</v>
      </c>
      <c r="D304" t="s">
        <v>337</v>
      </c>
      <c r="E304" t="s">
        <v>349</v>
      </c>
      <c r="F304" t="s">
        <v>352</v>
      </c>
      <c r="G304">
        <v>6000</v>
      </c>
      <c r="H304">
        <v>20</v>
      </c>
    </row>
    <row r="305" spans="1:8" x14ac:dyDescent="0.3">
      <c r="A305">
        <v>304</v>
      </c>
      <c r="B305">
        <f>_xlfn.XLOOKUP(C305,[1]Brand!$A$2:$A$88,[1]Brand!$B$2:$B$88)</f>
        <v>7</v>
      </c>
      <c r="C305">
        <v>37</v>
      </c>
      <c r="D305" t="s">
        <v>337</v>
      </c>
      <c r="E305" t="s">
        <v>349</v>
      </c>
      <c r="F305" t="s">
        <v>353</v>
      </c>
      <c r="G305">
        <v>2500</v>
      </c>
      <c r="H305">
        <v>25</v>
      </c>
    </row>
    <row r="306" spans="1:8" x14ac:dyDescent="0.3">
      <c r="A306">
        <v>305</v>
      </c>
      <c r="B306">
        <f>_xlfn.XLOOKUP(C306,[1]Brand!$A$2:$A$88,[1]Brand!$B$2:$B$88)</f>
        <v>7</v>
      </c>
      <c r="C306">
        <v>37</v>
      </c>
      <c r="D306" t="s">
        <v>337</v>
      </c>
      <c r="E306" t="s">
        <v>349</v>
      </c>
      <c r="F306" t="s">
        <v>354</v>
      </c>
      <c r="G306">
        <v>1500</v>
      </c>
      <c r="H306">
        <v>35</v>
      </c>
    </row>
    <row r="307" spans="1:8" x14ac:dyDescent="0.3">
      <c r="A307">
        <v>306</v>
      </c>
      <c r="B307">
        <f>_xlfn.XLOOKUP(C307,[1]Brand!$A$2:$A$88,[1]Brand!$B$2:$B$88)</f>
        <v>7</v>
      </c>
      <c r="C307">
        <v>37</v>
      </c>
      <c r="D307" t="s">
        <v>337</v>
      </c>
      <c r="E307" t="s">
        <v>349</v>
      </c>
      <c r="F307" t="s">
        <v>355</v>
      </c>
      <c r="G307">
        <v>4000</v>
      </c>
      <c r="H307">
        <v>15</v>
      </c>
    </row>
    <row r="308" spans="1:8" x14ac:dyDescent="0.3">
      <c r="A308">
        <v>307</v>
      </c>
      <c r="B308">
        <f>_xlfn.XLOOKUP(C308,[1]Brand!$A$2:$A$88,[1]Brand!$B$2:$B$88)</f>
        <v>7</v>
      </c>
      <c r="C308">
        <v>37</v>
      </c>
      <c r="D308" t="s">
        <v>337</v>
      </c>
      <c r="E308" t="s">
        <v>349</v>
      </c>
      <c r="F308" t="s">
        <v>356</v>
      </c>
      <c r="G308">
        <v>2000</v>
      </c>
      <c r="H308">
        <v>25</v>
      </c>
    </row>
    <row r="309" spans="1:8" x14ac:dyDescent="0.3">
      <c r="A309">
        <v>308</v>
      </c>
      <c r="B309">
        <f>_xlfn.XLOOKUP(C309,[1]Brand!$A$2:$A$88,[1]Brand!$B$2:$B$88)</f>
        <v>7</v>
      </c>
      <c r="C309">
        <v>37</v>
      </c>
      <c r="D309" t="s">
        <v>337</v>
      </c>
      <c r="E309" t="s">
        <v>349</v>
      </c>
      <c r="F309" t="s">
        <v>357</v>
      </c>
      <c r="G309">
        <v>600</v>
      </c>
    </row>
    <row r="310" spans="1:8" x14ac:dyDescent="0.3">
      <c r="A310">
        <v>309</v>
      </c>
      <c r="B310">
        <f>_xlfn.XLOOKUP(C310,[1]Brand!$A$2:$A$88,[1]Brand!$B$2:$B$88)</f>
        <v>7</v>
      </c>
      <c r="C310">
        <v>37</v>
      </c>
      <c r="D310" t="s">
        <v>337</v>
      </c>
      <c r="E310" t="s">
        <v>349</v>
      </c>
      <c r="F310" t="s">
        <v>358</v>
      </c>
      <c r="G310">
        <v>150</v>
      </c>
      <c r="H310">
        <v>60</v>
      </c>
    </row>
    <row r="311" spans="1:8" x14ac:dyDescent="0.3">
      <c r="A311">
        <v>310</v>
      </c>
      <c r="B311">
        <f>_xlfn.XLOOKUP(C311,[1]Brand!$A$2:$A$88,[1]Brand!$B$2:$B$88)</f>
        <v>7</v>
      </c>
      <c r="C311">
        <v>37</v>
      </c>
      <c r="D311" t="s">
        <v>337</v>
      </c>
      <c r="E311" t="s">
        <v>349</v>
      </c>
      <c r="F311" t="s">
        <v>359</v>
      </c>
      <c r="G311">
        <v>3000</v>
      </c>
      <c r="H311">
        <v>20</v>
      </c>
    </row>
    <row r="312" spans="1:8" x14ac:dyDescent="0.3">
      <c r="A312">
        <v>311</v>
      </c>
      <c r="B312">
        <f>_xlfn.XLOOKUP(C312,[1]Brand!$A$2:$A$88,[1]Brand!$B$2:$B$88)</f>
        <v>7</v>
      </c>
      <c r="C312">
        <v>38</v>
      </c>
      <c r="D312" t="s">
        <v>337</v>
      </c>
      <c r="E312" t="s">
        <v>360</v>
      </c>
      <c r="F312" t="s">
        <v>361</v>
      </c>
      <c r="G312">
        <v>15000</v>
      </c>
      <c r="H312">
        <v>20</v>
      </c>
    </row>
    <row r="313" spans="1:8" x14ac:dyDescent="0.3">
      <c r="A313">
        <v>312</v>
      </c>
      <c r="B313">
        <f>_xlfn.XLOOKUP(C313,[1]Brand!$A$2:$A$88,[1]Brand!$B$2:$B$88)</f>
        <v>7</v>
      </c>
      <c r="C313">
        <v>38</v>
      </c>
      <c r="D313" t="s">
        <v>337</v>
      </c>
      <c r="E313" t="s">
        <v>360</v>
      </c>
      <c r="F313" t="s">
        <v>362</v>
      </c>
      <c r="G313">
        <v>25000</v>
      </c>
      <c r="H313">
        <v>15</v>
      </c>
    </row>
    <row r="314" spans="1:8" x14ac:dyDescent="0.3">
      <c r="A314">
        <v>313</v>
      </c>
      <c r="B314">
        <f>_xlfn.XLOOKUP(C314,[1]Brand!$A$2:$A$88,[1]Brand!$B$2:$B$88)</f>
        <v>7</v>
      </c>
      <c r="C314">
        <v>38</v>
      </c>
      <c r="D314" t="s">
        <v>337</v>
      </c>
      <c r="E314" t="s">
        <v>360</v>
      </c>
      <c r="F314" t="s">
        <v>363</v>
      </c>
      <c r="G314">
        <v>18000</v>
      </c>
      <c r="H314">
        <v>10</v>
      </c>
    </row>
    <row r="315" spans="1:8" x14ac:dyDescent="0.3">
      <c r="A315">
        <v>314</v>
      </c>
      <c r="B315">
        <f>_xlfn.XLOOKUP(C315,[1]Brand!$A$2:$A$88,[1]Brand!$B$2:$B$88)</f>
        <v>7</v>
      </c>
      <c r="C315">
        <v>38</v>
      </c>
      <c r="D315" t="s">
        <v>337</v>
      </c>
      <c r="E315" t="s">
        <v>360</v>
      </c>
      <c r="F315" t="s">
        <v>364</v>
      </c>
      <c r="G315">
        <v>35000</v>
      </c>
      <c r="H315">
        <v>8</v>
      </c>
    </row>
    <row r="316" spans="1:8" x14ac:dyDescent="0.3">
      <c r="A316">
        <v>315</v>
      </c>
      <c r="B316">
        <f>_xlfn.XLOOKUP(C316,[1]Brand!$A$2:$A$88,[1]Brand!$B$2:$B$88)</f>
        <v>7</v>
      </c>
      <c r="C316">
        <v>38</v>
      </c>
      <c r="D316" t="s">
        <v>337</v>
      </c>
      <c r="E316" t="s">
        <v>360</v>
      </c>
      <c r="F316" t="s">
        <v>365</v>
      </c>
      <c r="G316">
        <v>7000</v>
      </c>
      <c r="H316">
        <v>25</v>
      </c>
    </row>
    <row r="317" spans="1:8" x14ac:dyDescent="0.3">
      <c r="A317">
        <v>316</v>
      </c>
      <c r="B317">
        <f>_xlfn.XLOOKUP(C317,[1]Brand!$A$2:$A$88,[1]Brand!$B$2:$B$88)</f>
        <v>7</v>
      </c>
      <c r="C317">
        <v>38</v>
      </c>
      <c r="D317" t="s">
        <v>337</v>
      </c>
      <c r="E317" t="s">
        <v>360</v>
      </c>
      <c r="F317" t="s">
        <v>366</v>
      </c>
      <c r="G317">
        <v>25000</v>
      </c>
      <c r="H317">
        <v>18</v>
      </c>
    </row>
    <row r="318" spans="1:8" x14ac:dyDescent="0.3">
      <c r="A318">
        <v>317</v>
      </c>
      <c r="B318">
        <f>_xlfn.XLOOKUP(C318,[1]Brand!$A$2:$A$88,[1]Brand!$B$2:$B$88)</f>
        <v>7</v>
      </c>
      <c r="C318">
        <v>38</v>
      </c>
      <c r="D318" t="s">
        <v>337</v>
      </c>
      <c r="E318" t="s">
        <v>360</v>
      </c>
      <c r="F318" t="s">
        <v>367</v>
      </c>
      <c r="G318">
        <v>30000</v>
      </c>
      <c r="H318">
        <v>12</v>
      </c>
    </row>
    <row r="319" spans="1:8" x14ac:dyDescent="0.3">
      <c r="A319">
        <v>318</v>
      </c>
      <c r="B319">
        <f>_xlfn.XLOOKUP(C319,[1]Brand!$A$2:$A$88,[1]Brand!$B$2:$B$88)</f>
        <v>7</v>
      </c>
      <c r="C319">
        <v>38</v>
      </c>
      <c r="D319" t="s">
        <v>337</v>
      </c>
      <c r="E319" t="s">
        <v>360</v>
      </c>
      <c r="F319" t="s">
        <v>368</v>
      </c>
      <c r="G319">
        <v>22000</v>
      </c>
      <c r="H319">
        <v>10</v>
      </c>
    </row>
    <row r="320" spans="1:8" x14ac:dyDescent="0.3">
      <c r="A320">
        <v>319</v>
      </c>
      <c r="B320">
        <f>_xlfn.XLOOKUP(C320,[1]Brand!$A$2:$A$88,[1]Brand!$B$2:$B$88)</f>
        <v>7</v>
      </c>
      <c r="C320">
        <v>38</v>
      </c>
      <c r="D320" t="s">
        <v>337</v>
      </c>
      <c r="E320" t="s">
        <v>360</v>
      </c>
      <c r="F320" t="s">
        <v>369</v>
      </c>
      <c r="G320">
        <v>45000</v>
      </c>
      <c r="H320">
        <v>7</v>
      </c>
    </row>
    <row r="321" spans="1:8" x14ac:dyDescent="0.3">
      <c r="A321">
        <v>320</v>
      </c>
      <c r="B321">
        <f>_xlfn.XLOOKUP(C321,[1]Brand!$A$2:$A$88,[1]Brand!$B$2:$B$88)</f>
        <v>7</v>
      </c>
      <c r="C321">
        <v>38</v>
      </c>
      <c r="D321" t="s">
        <v>337</v>
      </c>
      <c r="E321" t="s">
        <v>360</v>
      </c>
      <c r="F321" t="s">
        <v>370</v>
      </c>
      <c r="G321">
        <v>10000</v>
      </c>
      <c r="H321">
        <v>20</v>
      </c>
    </row>
    <row r="322" spans="1:8" x14ac:dyDescent="0.3">
      <c r="A322">
        <v>321</v>
      </c>
      <c r="B322">
        <f>_xlfn.XLOOKUP(C322,[1]Brand!$A$2:$A$88,[1]Brand!$B$2:$B$88)</f>
        <v>7</v>
      </c>
      <c r="C322">
        <v>39</v>
      </c>
      <c r="D322" t="s">
        <v>337</v>
      </c>
      <c r="E322" t="s">
        <v>371</v>
      </c>
      <c r="F322" t="s">
        <v>372</v>
      </c>
      <c r="G322">
        <v>14000</v>
      </c>
      <c r="H322">
        <v>25</v>
      </c>
    </row>
    <row r="323" spans="1:8" x14ac:dyDescent="0.3">
      <c r="A323">
        <v>322</v>
      </c>
      <c r="B323">
        <f>_xlfn.XLOOKUP(C323,[1]Brand!$A$2:$A$88,[1]Brand!$B$2:$B$88)</f>
        <v>7</v>
      </c>
      <c r="C323">
        <v>39</v>
      </c>
      <c r="D323" t="s">
        <v>337</v>
      </c>
      <c r="E323" t="s">
        <v>371</v>
      </c>
      <c r="F323" t="s">
        <v>373</v>
      </c>
      <c r="G323">
        <v>24000</v>
      </c>
      <c r="H323">
        <v>18</v>
      </c>
    </row>
    <row r="324" spans="1:8" x14ac:dyDescent="0.3">
      <c r="A324">
        <v>323</v>
      </c>
      <c r="B324">
        <f>_xlfn.XLOOKUP(C324,[1]Brand!$A$2:$A$88,[1]Brand!$B$2:$B$88)</f>
        <v>7</v>
      </c>
      <c r="C324">
        <v>39</v>
      </c>
      <c r="D324" t="s">
        <v>337</v>
      </c>
      <c r="E324" t="s">
        <v>371</v>
      </c>
      <c r="F324" t="s">
        <v>374</v>
      </c>
      <c r="G324">
        <v>17000</v>
      </c>
      <c r="H324">
        <v>12</v>
      </c>
    </row>
    <row r="325" spans="1:8" x14ac:dyDescent="0.3">
      <c r="A325">
        <v>324</v>
      </c>
      <c r="B325">
        <f>_xlfn.XLOOKUP(C325,[1]Brand!$A$2:$A$88,[1]Brand!$B$2:$B$88)</f>
        <v>7</v>
      </c>
      <c r="C325">
        <v>39</v>
      </c>
      <c r="D325" t="s">
        <v>337</v>
      </c>
      <c r="E325" t="s">
        <v>371</v>
      </c>
      <c r="F325" t="s">
        <v>375</v>
      </c>
      <c r="G325">
        <v>34000</v>
      </c>
      <c r="H325">
        <v>10</v>
      </c>
    </row>
    <row r="326" spans="1:8" x14ac:dyDescent="0.3">
      <c r="A326">
        <v>325</v>
      </c>
      <c r="B326">
        <f>_xlfn.XLOOKUP(C326,[1]Brand!$A$2:$A$88,[1]Brand!$B$2:$B$88)</f>
        <v>7</v>
      </c>
      <c r="C326">
        <v>39</v>
      </c>
      <c r="D326" t="s">
        <v>337</v>
      </c>
      <c r="E326" t="s">
        <v>371</v>
      </c>
      <c r="F326" t="s">
        <v>376</v>
      </c>
      <c r="G326">
        <v>9000</v>
      </c>
      <c r="H326">
        <v>20</v>
      </c>
    </row>
    <row r="327" spans="1:8" x14ac:dyDescent="0.3">
      <c r="A327">
        <v>326</v>
      </c>
      <c r="B327">
        <f>_xlfn.XLOOKUP(C327,[1]Brand!$A$2:$A$88,[1]Brand!$B$2:$B$88)</f>
        <v>7</v>
      </c>
      <c r="C327">
        <v>39</v>
      </c>
      <c r="D327" t="s">
        <v>337</v>
      </c>
      <c r="E327" t="s">
        <v>371</v>
      </c>
      <c r="F327" t="s">
        <v>377</v>
      </c>
      <c r="G327">
        <v>25000</v>
      </c>
      <c r="H327">
        <v>20</v>
      </c>
    </row>
    <row r="328" spans="1:8" x14ac:dyDescent="0.3">
      <c r="A328">
        <v>327</v>
      </c>
      <c r="B328">
        <f>_xlfn.XLOOKUP(C328,[1]Brand!$A$2:$A$88,[1]Brand!$B$2:$B$88)</f>
        <v>7</v>
      </c>
      <c r="C328">
        <v>39</v>
      </c>
      <c r="D328" t="s">
        <v>337</v>
      </c>
      <c r="E328" t="s">
        <v>371</v>
      </c>
      <c r="F328" t="s">
        <v>378</v>
      </c>
      <c r="G328">
        <v>30000</v>
      </c>
      <c r="H328">
        <v>15</v>
      </c>
    </row>
    <row r="329" spans="1:8" x14ac:dyDescent="0.3">
      <c r="A329">
        <v>328</v>
      </c>
      <c r="B329">
        <f>_xlfn.XLOOKUP(C329,[1]Brand!$A$2:$A$88,[1]Brand!$B$2:$B$88)</f>
        <v>7</v>
      </c>
      <c r="C329">
        <v>39</v>
      </c>
      <c r="D329" t="s">
        <v>337</v>
      </c>
      <c r="E329" t="s">
        <v>371</v>
      </c>
      <c r="F329" t="s">
        <v>379</v>
      </c>
      <c r="G329">
        <v>23000</v>
      </c>
      <c r="H329">
        <v>10</v>
      </c>
    </row>
    <row r="330" spans="1:8" x14ac:dyDescent="0.3">
      <c r="A330">
        <v>329</v>
      </c>
      <c r="B330">
        <f>_xlfn.XLOOKUP(C330,[1]Brand!$A$2:$A$88,[1]Brand!$B$2:$B$88)</f>
        <v>7</v>
      </c>
      <c r="C330">
        <v>39</v>
      </c>
      <c r="D330" t="s">
        <v>337</v>
      </c>
      <c r="E330" t="s">
        <v>371</v>
      </c>
      <c r="F330" t="s">
        <v>380</v>
      </c>
      <c r="G330">
        <v>45000</v>
      </c>
      <c r="H330">
        <v>8</v>
      </c>
    </row>
    <row r="331" spans="1:8" x14ac:dyDescent="0.3">
      <c r="A331">
        <v>330</v>
      </c>
      <c r="B331">
        <f>_xlfn.XLOOKUP(C331,[1]Brand!$A$2:$A$88,[1]Brand!$B$2:$B$88)</f>
        <v>7</v>
      </c>
      <c r="C331">
        <v>39</v>
      </c>
      <c r="D331" t="s">
        <v>337</v>
      </c>
      <c r="E331" t="s">
        <v>371</v>
      </c>
      <c r="F331" t="s">
        <v>381</v>
      </c>
      <c r="G331">
        <v>12000</v>
      </c>
      <c r="H331">
        <v>18</v>
      </c>
    </row>
    <row r="332" spans="1:8" x14ac:dyDescent="0.3">
      <c r="A332">
        <v>331</v>
      </c>
      <c r="B332">
        <f>_xlfn.XLOOKUP(C332,[1]Brand!$A$2:$A$88,[1]Brand!$B$2:$B$88)</f>
        <v>7</v>
      </c>
      <c r="C332">
        <v>40</v>
      </c>
      <c r="D332" t="s">
        <v>337</v>
      </c>
      <c r="E332" t="s">
        <v>382</v>
      </c>
      <c r="F332" t="s">
        <v>383</v>
      </c>
      <c r="G332">
        <v>35000</v>
      </c>
      <c r="H332">
        <v>10</v>
      </c>
    </row>
    <row r="333" spans="1:8" x14ac:dyDescent="0.3">
      <c r="A333">
        <v>332</v>
      </c>
      <c r="B333">
        <f>_xlfn.XLOOKUP(C333,[1]Brand!$A$2:$A$88,[1]Brand!$B$2:$B$88)</f>
        <v>7</v>
      </c>
      <c r="C333">
        <v>40</v>
      </c>
      <c r="D333" t="s">
        <v>337</v>
      </c>
      <c r="E333" t="s">
        <v>382</v>
      </c>
      <c r="F333" t="s">
        <v>384</v>
      </c>
      <c r="G333">
        <v>24000</v>
      </c>
      <c r="H333">
        <v>15</v>
      </c>
    </row>
    <row r="334" spans="1:8" x14ac:dyDescent="0.3">
      <c r="A334">
        <v>333</v>
      </c>
      <c r="B334">
        <f>_xlfn.XLOOKUP(C334,[1]Brand!$A$2:$A$88,[1]Brand!$B$2:$B$88)</f>
        <v>7</v>
      </c>
      <c r="C334">
        <v>40</v>
      </c>
      <c r="D334" t="s">
        <v>337</v>
      </c>
      <c r="E334" t="s">
        <v>382</v>
      </c>
      <c r="F334" t="s">
        <v>385</v>
      </c>
      <c r="G334">
        <v>18000</v>
      </c>
      <c r="H334">
        <v>12</v>
      </c>
    </row>
    <row r="335" spans="1:8" x14ac:dyDescent="0.3">
      <c r="A335">
        <v>334</v>
      </c>
      <c r="B335">
        <f>_xlfn.XLOOKUP(C335,[1]Brand!$A$2:$A$88,[1]Brand!$B$2:$B$88)</f>
        <v>7</v>
      </c>
      <c r="C335">
        <v>40</v>
      </c>
      <c r="D335" t="s">
        <v>337</v>
      </c>
      <c r="E335" t="s">
        <v>382</v>
      </c>
      <c r="F335" t="s">
        <v>386</v>
      </c>
      <c r="G335">
        <v>6000</v>
      </c>
      <c r="H335">
        <v>20</v>
      </c>
    </row>
    <row r="336" spans="1:8" x14ac:dyDescent="0.3">
      <c r="A336">
        <v>335</v>
      </c>
      <c r="B336">
        <f>_xlfn.XLOOKUP(C336,[1]Brand!$A$2:$A$88,[1]Brand!$B$2:$B$88)</f>
        <v>7</v>
      </c>
      <c r="C336">
        <v>40</v>
      </c>
      <c r="D336" t="s">
        <v>337</v>
      </c>
      <c r="E336" t="s">
        <v>382</v>
      </c>
      <c r="F336" t="s">
        <v>387</v>
      </c>
      <c r="G336">
        <v>1500</v>
      </c>
      <c r="H336">
        <v>30</v>
      </c>
    </row>
    <row r="337" spans="1:8" x14ac:dyDescent="0.3">
      <c r="A337">
        <v>336</v>
      </c>
      <c r="B337">
        <f>_xlfn.XLOOKUP(C337,[1]Brand!$A$2:$A$88,[1]Brand!$B$2:$B$88)</f>
        <v>7</v>
      </c>
      <c r="C337">
        <v>40</v>
      </c>
      <c r="D337" t="s">
        <v>337</v>
      </c>
      <c r="E337" t="s">
        <v>382</v>
      </c>
      <c r="F337" t="s">
        <v>388</v>
      </c>
      <c r="G337">
        <v>32000</v>
      </c>
      <c r="H337">
        <v>12</v>
      </c>
    </row>
    <row r="338" spans="1:8" x14ac:dyDescent="0.3">
      <c r="A338">
        <v>337</v>
      </c>
      <c r="B338">
        <f>_xlfn.XLOOKUP(C338,[1]Brand!$A$2:$A$88,[1]Brand!$B$2:$B$88)</f>
        <v>7</v>
      </c>
      <c r="C338">
        <v>40</v>
      </c>
      <c r="D338" t="s">
        <v>337</v>
      </c>
      <c r="E338" t="s">
        <v>382</v>
      </c>
      <c r="F338" t="s">
        <v>389</v>
      </c>
      <c r="G338">
        <v>28000</v>
      </c>
      <c r="H338">
        <v>10</v>
      </c>
    </row>
    <row r="339" spans="1:8" x14ac:dyDescent="0.3">
      <c r="A339">
        <v>338</v>
      </c>
      <c r="B339">
        <f>_xlfn.XLOOKUP(C339,[1]Brand!$A$2:$A$88,[1]Brand!$B$2:$B$88)</f>
        <v>7</v>
      </c>
      <c r="C339">
        <v>40</v>
      </c>
      <c r="D339" t="s">
        <v>337</v>
      </c>
      <c r="E339" t="s">
        <v>382</v>
      </c>
      <c r="F339" t="s">
        <v>390</v>
      </c>
      <c r="G339">
        <v>12000</v>
      </c>
      <c r="H339">
        <v>15</v>
      </c>
    </row>
    <row r="340" spans="1:8" x14ac:dyDescent="0.3">
      <c r="A340">
        <v>339</v>
      </c>
      <c r="B340">
        <f>_xlfn.XLOOKUP(C340,[1]Brand!$A$2:$A$88,[1]Brand!$B$2:$B$88)</f>
        <v>7</v>
      </c>
      <c r="C340">
        <v>40</v>
      </c>
      <c r="D340" t="s">
        <v>337</v>
      </c>
      <c r="E340" t="s">
        <v>382</v>
      </c>
      <c r="F340" t="s">
        <v>391</v>
      </c>
      <c r="G340">
        <v>45000</v>
      </c>
      <c r="H340">
        <v>8</v>
      </c>
    </row>
    <row r="341" spans="1:8" x14ac:dyDescent="0.3">
      <c r="A341">
        <v>340</v>
      </c>
      <c r="B341">
        <f>_xlfn.XLOOKUP(C341,[1]Brand!$A$2:$A$88,[1]Brand!$B$2:$B$88)</f>
        <v>7</v>
      </c>
      <c r="C341">
        <v>40</v>
      </c>
      <c r="D341" t="s">
        <v>337</v>
      </c>
      <c r="E341" t="s">
        <v>382</v>
      </c>
      <c r="F341" t="s">
        <v>392</v>
      </c>
      <c r="G341">
        <v>1200</v>
      </c>
      <c r="H341">
        <v>25</v>
      </c>
    </row>
    <row r="342" spans="1:8" x14ac:dyDescent="0.3">
      <c r="A342">
        <v>341</v>
      </c>
      <c r="B342">
        <f>_xlfn.XLOOKUP(C342,[1]Brand!$A$2:$A$88,[1]Brand!$B$2:$B$88)</f>
        <v>7</v>
      </c>
      <c r="C342">
        <v>41</v>
      </c>
      <c r="D342" t="s">
        <v>337</v>
      </c>
      <c r="E342" t="s">
        <v>393</v>
      </c>
      <c r="F342" t="s">
        <v>394</v>
      </c>
      <c r="G342">
        <v>32999</v>
      </c>
      <c r="H342">
        <v>15</v>
      </c>
    </row>
    <row r="343" spans="1:8" x14ac:dyDescent="0.3">
      <c r="A343">
        <v>342</v>
      </c>
      <c r="B343">
        <f>_xlfn.XLOOKUP(C343,[1]Brand!$A$2:$A$88,[1]Brand!$B$2:$B$88)</f>
        <v>7</v>
      </c>
      <c r="C343">
        <v>41</v>
      </c>
      <c r="D343" t="s">
        <v>395</v>
      </c>
      <c r="E343" t="s">
        <v>393</v>
      </c>
      <c r="F343" t="s">
        <v>396</v>
      </c>
      <c r="G343">
        <v>4499</v>
      </c>
      <c r="H343">
        <v>25</v>
      </c>
    </row>
    <row r="344" spans="1:8" x14ac:dyDescent="0.3">
      <c r="A344">
        <v>343</v>
      </c>
      <c r="B344">
        <f>_xlfn.XLOOKUP(C344,[1]Brand!$A$2:$A$88,[1]Brand!$B$2:$B$88)</f>
        <v>7</v>
      </c>
      <c r="C344">
        <v>41</v>
      </c>
      <c r="D344" t="s">
        <v>397</v>
      </c>
      <c r="E344" t="s">
        <v>393</v>
      </c>
      <c r="F344" t="s">
        <v>398</v>
      </c>
      <c r="G344">
        <v>2999</v>
      </c>
      <c r="H344">
        <v>30</v>
      </c>
    </row>
    <row r="345" spans="1:8" x14ac:dyDescent="0.3">
      <c r="A345">
        <v>344</v>
      </c>
      <c r="B345">
        <f>_xlfn.XLOOKUP(C345,[1]Brand!$A$2:$A$88,[1]Brand!$B$2:$B$88)</f>
        <v>7</v>
      </c>
      <c r="C345">
        <v>41</v>
      </c>
      <c r="D345" t="s">
        <v>337</v>
      </c>
      <c r="E345" t="s">
        <v>393</v>
      </c>
      <c r="F345" t="s">
        <v>399</v>
      </c>
      <c r="G345">
        <v>14999</v>
      </c>
      <c r="H345">
        <v>10</v>
      </c>
    </row>
    <row r="346" spans="1:8" x14ac:dyDescent="0.3">
      <c r="A346">
        <v>345</v>
      </c>
      <c r="B346">
        <f>_xlfn.XLOOKUP(C346,[1]Brand!$A$2:$A$88,[1]Brand!$B$2:$B$88)</f>
        <v>7</v>
      </c>
      <c r="C346">
        <v>41</v>
      </c>
      <c r="D346" t="s">
        <v>395</v>
      </c>
      <c r="E346" t="s">
        <v>393</v>
      </c>
      <c r="F346" t="s">
        <v>400</v>
      </c>
      <c r="G346">
        <v>3299</v>
      </c>
      <c r="H346">
        <v>20</v>
      </c>
    </row>
    <row r="347" spans="1:8" x14ac:dyDescent="0.3">
      <c r="A347">
        <v>346</v>
      </c>
      <c r="B347">
        <f>_xlfn.XLOOKUP(C347,[1]Brand!$A$2:$A$88,[1]Brand!$B$2:$B$88)</f>
        <v>7</v>
      </c>
      <c r="C347">
        <v>42</v>
      </c>
      <c r="D347" t="s">
        <v>337</v>
      </c>
      <c r="E347" t="s">
        <v>401</v>
      </c>
      <c r="F347" t="s">
        <v>402</v>
      </c>
      <c r="G347">
        <v>28999</v>
      </c>
      <c r="H347">
        <v>12</v>
      </c>
    </row>
    <row r="348" spans="1:8" x14ac:dyDescent="0.3">
      <c r="A348">
        <v>347</v>
      </c>
      <c r="B348">
        <f>_xlfn.XLOOKUP(C348,[1]Brand!$A$2:$A$88,[1]Brand!$B$2:$B$88)</f>
        <v>7</v>
      </c>
      <c r="C348">
        <v>42</v>
      </c>
      <c r="D348" t="s">
        <v>337</v>
      </c>
      <c r="E348" t="s">
        <v>401</v>
      </c>
      <c r="F348" t="s">
        <v>403</v>
      </c>
      <c r="G348">
        <v>10499</v>
      </c>
      <c r="H348">
        <v>18</v>
      </c>
    </row>
    <row r="349" spans="1:8" x14ac:dyDescent="0.3">
      <c r="A349">
        <v>348</v>
      </c>
      <c r="B349">
        <f>_xlfn.XLOOKUP(C349,[1]Brand!$A$2:$A$88,[1]Brand!$B$2:$B$88)</f>
        <v>7</v>
      </c>
      <c r="C349">
        <v>42</v>
      </c>
      <c r="D349" t="s">
        <v>337</v>
      </c>
      <c r="E349" t="s">
        <v>401</v>
      </c>
      <c r="F349" t="s">
        <v>404</v>
      </c>
      <c r="G349">
        <v>1499</v>
      </c>
      <c r="H349">
        <v>35</v>
      </c>
    </row>
    <row r="350" spans="1:8" x14ac:dyDescent="0.3">
      <c r="A350">
        <v>349</v>
      </c>
      <c r="B350">
        <f>_xlfn.XLOOKUP(C350,[1]Brand!$A$2:$A$88,[1]Brand!$B$2:$B$88)</f>
        <v>7</v>
      </c>
      <c r="C350">
        <v>42</v>
      </c>
      <c r="D350" t="s">
        <v>337</v>
      </c>
      <c r="E350" t="s">
        <v>401</v>
      </c>
      <c r="F350" t="s">
        <v>405</v>
      </c>
      <c r="G350">
        <v>42999</v>
      </c>
      <c r="H350">
        <v>8</v>
      </c>
    </row>
    <row r="351" spans="1:8" x14ac:dyDescent="0.3">
      <c r="A351">
        <v>350</v>
      </c>
      <c r="B351">
        <f>_xlfn.XLOOKUP(C351,[1]Brand!$A$2:$A$88,[1]Brand!$B$2:$B$88)</f>
        <v>7</v>
      </c>
      <c r="C351">
        <v>42</v>
      </c>
      <c r="D351" t="s">
        <v>337</v>
      </c>
      <c r="E351" t="s">
        <v>401</v>
      </c>
      <c r="F351" t="s">
        <v>406</v>
      </c>
      <c r="G351">
        <v>7999</v>
      </c>
      <c r="H351">
        <v>20</v>
      </c>
    </row>
    <row r="352" spans="1:8" x14ac:dyDescent="0.3">
      <c r="A352">
        <v>351</v>
      </c>
      <c r="B352">
        <f>_xlfn.XLOOKUP(C352,[1]Brand!$A$2:$A$88,[1]Brand!$B$2:$B$88)</f>
        <v>8</v>
      </c>
      <c r="C352">
        <v>43</v>
      </c>
      <c r="D352" t="s">
        <v>407</v>
      </c>
      <c r="E352" t="s">
        <v>408</v>
      </c>
      <c r="F352" t="s">
        <v>409</v>
      </c>
      <c r="G352">
        <v>799</v>
      </c>
      <c r="H352">
        <v>50</v>
      </c>
    </row>
    <row r="353" spans="1:8" x14ac:dyDescent="0.3">
      <c r="A353">
        <v>352</v>
      </c>
      <c r="B353">
        <f>_xlfn.XLOOKUP(C353,[1]Brand!$A$2:$A$88,[1]Brand!$B$2:$B$88)</f>
        <v>8</v>
      </c>
      <c r="C353">
        <v>43</v>
      </c>
      <c r="D353" t="s">
        <v>407</v>
      </c>
      <c r="E353" t="s">
        <v>408</v>
      </c>
      <c r="F353" t="s">
        <v>410</v>
      </c>
      <c r="G353">
        <v>3499</v>
      </c>
      <c r="H353">
        <v>20</v>
      </c>
    </row>
    <row r="354" spans="1:8" x14ac:dyDescent="0.3">
      <c r="A354">
        <v>353</v>
      </c>
      <c r="B354">
        <f>_xlfn.XLOOKUP(C354,[1]Brand!$A$2:$A$88,[1]Brand!$B$2:$B$88)</f>
        <v>8</v>
      </c>
      <c r="C354">
        <v>43</v>
      </c>
      <c r="D354" t="s">
        <v>407</v>
      </c>
      <c r="E354" t="s">
        <v>408</v>
      </c>
      <c r="F354" t="s">
        <v>411</v>
      </c>
      <c r="G354">
        <v>2999</v>
      </c>
      <c r="H354">
        <v>30</v>
      </c>
    </row>
    <row r="355" spans="1:8" x14ac:dyDescent="0.3">
      <c r="A355">
        <v>354</v>
      </c>
      <c r="B355">
        <f>_xlfn.XLOOKUP(C355,[1]Brand!$A$2:$A$88,[1]Brand!$B$2:$B$88)</f>
        <v>8</v>
      </c>
      <c r="C355">
        <v>43</v>
      </c>
      <c r="D355" t="s">
        <v>407</v>
      </c>
      <c r="E355" t="s">
        <v>408</v>
      </c>
      <c r="F355" t="s">
        <v>412</v>
      </c>
      <c r="G355">
        <v>1499</v>
      </c>
      <c r="H355">
        <v>40</v>
      </c>
    </row>
    <row r="356" spans="1:8" x14ac:dyDescent="0.3">
      <c r="A356">
        <v>355</v>
      </c>
      <c r="B356">
        <f>_xlfn.XLOOKUP(C356,[1]Brand!$A$2:$A$88,[1]Brand!$B$2:$B$88)</f>
        <v>8</v>
      </c>
      <c r="C356">
        <v>43</v>
      </c>
      <c r="D356" t="s">
        <v>407</v>
      </c>
      <c r="E356" t="s">
        <v>408</v>
      </c>
      <c r="F356" t="s">
        <v>413</v>
      </c>
      <c r="G356">
        <v>2199</v>
      </c>
      <c r="H356">
        <v>25</v>
      </c>
    </row>
    <row r="357" spans="1:8" x14ac:dyDescent="0.3">
      <c r="A357">
        <v>356</v>
      </c>
      <c r="B357">
        <f>_xlfn.XLOOKUP(C357,[1]Brand!$A$2:$A$88,[1]Brand!$B$2:$B$88)</f>
        <v>8</v>
      </c>
      <c r="C357">
        <v>44</v>
      </c>
      <c r="D357" t="s">
        <v>407</v>
      </c>
      <c r="E357" t="s">
        <v>414</v>
      </c>
      <c r="F357" t="s">
        <v>415</v>
      </c>
      <c r="G357">
        <v>3499</v>
      </c>
      <c r="H357">
        <v>25</v>
      </c>
    </row>
    <row r="358" spans="1:8" x14ac:dyDescent="0.3">
      <c r="A358">
        <v>357</v>
      </c>
      <c r="B358">
        <f>_xlfn.XLOOKUP(C358,[1]Brand!$A$2:$A$88,[1]Brand!$B$2:$B$88)</f>
        <v>8</v>
      </c>
      <c r="C358">
        <v>44</v>
      </c>
      <c r="D358" t="s">
        <v>407</v>
      </c>
      <c r="E358" t="s">
        <v>414</v>
      </c>
      <c r="F358" t="s">
        <v>416</v>
      </c>
      <c r="G358">
        <v>3799</v>
      </c>
      <c r="H358">
        <v>20</v>
      </c>
    </row>
    <row r="359" spans="1:8" x14ac:dyDescent="0.3">
      <c r="A359">
        <v>358</v>
      </c>
      <c r="B359">
        <f>_xlfn.XLOOKUP(C359,[1]Brand!$A$2:$A$88,[1]Brand!$B$2:$B$88)</f>
        <v>8</v>
      </c>
      <c r="C359">
        <v>44</v>
      </c>
      <c r="D359" t="s">
        <v>407</v>
      </c>
      <c r="E359" t="s">
        <v>414</v>
      </c>
      <c r="F359" t="s">
        <v>417</v>
      </c>
      <c r="G359">
        <v>4299</v>
      </c>
      <c r="H359">
        <v>15</v>
      </c>
    </row>
    <row r="360" spans="1:8" x14ac:dyDescent="0.3">
      <c r="A360">
        <v>359</v>
      </c>
      <c r="B360">
        <f>_xlfn.XLOOKUP(C360,[1]Brand!$A$2:$A$88,[1]Brand!$B$2:$B$88)</f>
        <v>8</v>
      </c>
      <c r="C360">
        <v>44</v>
      </c>
      <c r="D360" t="s">
        <v>407</v>
      </c>
      <c r="E360" t="s">
        <v>414</v>
      </c>
      <c r="F360" t="s">
        <v>418</v>
      </c>
      <c r="G360">
        <v>6999</v>
      </c>
      <c r="H360">
        <v>10</v>
      </c>
    </row>
    <row r="361" spans="1:8" x14ac:dyDescent="0.3">
      <c r="A361">
        <v>360</v>
      </c>
      <c r="B361">
        <f>_xlfn.XLOOKUP(C361,[1]Brand!$A$2:$A$88,[1]Brand!$B$2:$B$88)</f>
        <v>8</v>
      </c>
      <c r="C361">
        <v>44</v>
      </c>
      <c r="D361" t="s">
        <v>407</v>
      </c>
      <c r="E361" t="s">
        <v>414</v>
      </c>
      <c r="F361" t="s">
        <v>419</v>
      </c>
      <c r="G361">
        <v>7499</v>
      </c>
      <c r="H361">
        <v>12</v>
      </c>
    </row>
    <row r="362" spans="1:8" x14ac:dyDescent="0.3">
      <c r="A362">
        <v>361</v>
      </c>
      <c r="B362">
        <f>_xlfn.XLOOKUP(C362,[1]Brand!$A$2:$A$88,[1]Brand!$B$2:$B$88)</f>
        <v>8</v>
      </c>
      <c r="C362">
        <v>45</v>
      </c>
      <c r="D362" t="s">
        <v>420</v>
      </c>
      <c r="E362" t="s">
        <v>421</v>
      </c>
      <c r="F362" t="s">
        <v>422</v>
      </c>
      <c r="G362">
        <v>599</v>
      </c>
      <c r="H362">
        <v>40</v>
      </c>
    </row>
    <row r="363" spans="1:8" x14ac:dyDescent="0.3">
      <c r="A363">
        <v>362</v>
      </c>
      <c r="B363">
        <f>_xlfn.XLOOKUP(C363,[1]Brand!$A$2:$A$88,[1]Brand!$B$2:$B$88)</f>
        <v>8</v>
      </c>
      <c r="C363">
        <v>45</v>
      </c>
      <c r="D363" t="s">
        <v>420</v>
      </c>
      <c r="E363" t="s">
        <v>421</v>
      </c>
      <c r="F363" t="s">
        <v>423</v>
      </c>
      <c r="G363">
        <v>1299</v>
      </c>
      <c r="H363">
        <v>25</v>
      </c>
    </row>
    <row r="364" spans="1:8" x14ac:dyDescent="0.3">
      <c r="A364">
        <v>363</v>
      </c>
      <c r="B364">
        <f>_xlfn.XLOOKUP(C364,[1]Brand!$A$2:$A$88,[1]Brand!$B$2:$B$88)</f>
        <v>8</v>
      </c>
      <c r="C364">
        <v>45</v>
      </c>
      <c r="D364" t="s">
        <v>420</v>
      </c>
      <c r="E364" t="s">
        <v>421</v>
      </c>
      <c r="F364" t="s">
        <v>424</v>
      </c>
      <c r="G364">
        <v>799</v>
      </c>
      <c r="H364">
        <v>30</v>
      </c>
    </row>
    <row r="365" spans="1:8" x14ac:dyDescent="0.3">
      <c r="A365">
        <v>364</v>
      </c>
      <c r="B365">
        <f>_xlfn.XLOOKUP(C365,[1]Brand!$A$2:$A$88,[1]Brand!$B$2:$B$88)</f>
        <v>8</v>
      </c>
      <c r="C365">
        <v>45</v>
      </c>
      <c r="D365" t="s">
        <v>397</v>
      </c>
      <c r="E365" t="s">
        <v>421</v>
      </c>
      <c r="F365" t="s">
        <v>425</v>
      </c>
      <c r="G365">
        <v>7999</v>
      </c>
      <c r="H365">
        <v>15</v>
      </c>
    </row>
    <row r="366" spans="1:8" x14ac:dyDescent="0.3">
      <c r="A366">
        <v>365</v>
      </c>
      <c r="B366">
        <f>_xlfn.XLOOKUP(C366,[1]Brand!$A$2:$A$88,[1]Brand!$B$2:$B$88)</f>
        <v>8</v>
      </c>
      <c r="C366">
        <v>45</v>
      </c>
      <c r="D366" t="s">
        <v>420</v>
      </c>
      <c r="E366" t="s">
        <v>421</v>
      </c>
      <c r="F366" t="s">
        <v>426</v>
      </c>
      <c r="G366">
        <v>1499</v>
      </c>
      <c r="H366">
        <v>20</v>
      </c>
    </row>
    <row r="367" spans="1:8" x14ac:dyDescent="0.3">
      <c r="A367">
        <v>366</v>
      </c>
      <c r="B367">
        <f>_xlfn.XLOOKUP(C367,[1]Brand!$A$2:$A$88,[1]Brand!$B$2:$B$88)</f>
        <v>8</v>
      </c>
      <c r="C367">
        <v>46</v>
      </c>
      <c r="D367" t="s">
        <v>427</v>
      </c>
      <c r="E367" t="s">
        <v>428</v>
      </c>
      <c r="F367" t="s">
        <v>429</v>
      </c>
      <c r="G367">
        <v>199</v>
      </c>
    </row>
    <row r="368" spans="1:8" x14ac:dyDescent="0.3">
      <c r="A368">
        <v>367</v>
      </c>
      <c r="B368">
        <f>_xlfn.XLOOKUP(C368,[1]Brand!$A$2:$A$88,[1]Brand!$B$2:$B$88)</f>
        <v>8</v>
      </c>
      <c r="C368">
        <v>46</v>
      </c>
      <c r="D368" t="s">
        <v>420</v>
      </c>
      <c r="E368" t="s">
        <v>428</v>
      </c>
      <c r="F368" t="s">
        <v>430</v>
      </c>
      <c r="G368">
        <v>1299</v>
      </c>
      <c r="H368">
        <v>30</v>
      </c>
    </row>
    <row r="369" spans="1:8" x14ac:dyDescent="0.3">
      <c r="A369">
        <v>368</v>
      </c>
      <c r="B369">
        <f>_xlfn.XLOOKUP(C369,[1]Brand!$A$2:$A$88,[1]Brand!$B$2:$B$88)</f>
        <v>8</v>
      </c>
      <c r="C369">
        <v>46</v>
      </c>
      <c r="D369" t="s">
        <v>420</v>
      </c>
      <c r="E369" t="s">
        <v>428</v>
      </c>
      <c r="F369" t="s">
        <v>431</v>
      </c>
      <c r="G369">
        <v>499</v>
      </c>
      <c r="H369">
        <v>40</v>
      </c>
    </row>
    <row r="370" spans="1:8" x14ac:dyDescent="0.3">
      <c r="A370">
        <v>369</v>
      </c>
      <c r="B370">
        <f>_xlfn.XLOOKUP(C370,[1]Brand!$A$2:$A$88,[1]Brand!$B$2:$B$88)</f>
        <v>8</v>
      </c>
      <c r="C370">
        <v>46</v>
      </c>
      <c r="D370" t="s">
        <v>420</v>
      </c>
      <c r="E370" t="s">
        <v>428</v>
      </c>
      <c r="F370" t="s">
        <v>432</v>
      </c>
      <c r="G370">
        <v>2999</v>
      </c>
      <c r="H370">
        <v>20</v>
      </c>
    </row>
    <row r="371" spans="1:8" x14ac:dyDescent="0.3">
      <c r="A371">
        <v>370</v>
      </c>
      <c r="B371">
        <f>_xlfn.XLOOKUP(C371,[1]Brand!$A$2:$A$88,[1]Brand!$B$2:$B$88)</f>
        <v>8</v>
      </c>
      <c r="C371">
        <v>46</v>
      </c>
      <c r="D371" t="s">
        <v>420</v>
      </c>
      <c r="E371" t="s">
        <v>428</v>
      </c>
      <c r="F371" t="s">
        <v>433</v>
      </c>
      <c r="G371">
        <v>3499</v>
      </c>
      <c r="H371">
        <v>15</v>
      </c>
    </row>
    <row r="372" spans="1:8" x14ac:dyDescent="0.3">
      <c r="A372">
        <v>371</v>
      </c>
      <c r="B372">
        <f>_xlfn.XLOOKUP(C372,[1]Brand!$A$2:$A$88,[1]Brand!$B$2:$B$88)</f>
        <v>8</v>
      </c>
      <c r="C372">
        <v>47</v>
      </c>
      <c r="D372" t="s">
        <v>420</v>
      </c>
      <c r="E372" t="s">
        <v>434</v>
      </c>
      <c r="F372" t="s">
        <v>435</v>
      </c>
      <c r="G372">
        <v>599</v>
      </c>
      <c r="H372">
        <v>35</v>
      </c>
    </row>
    <row r="373" spans="1:8" x14ac:dyDescent="0.3">
      <c r="A373">
        <v>372</v>
      </c>
      <c r="B373">
        <f>_xlfn.XLOOKUP(C373,[1]Brand!$A$2:$A$88,[1]Brand!$B$2:$B$88)</f>
        <v>8</v>
      </c>
      <c r="C373">
        <v>47</v>
      </c>
      <c r="D373" t="s">
        <v>420</v>
      </c>
      <c r="E373" t="s">
        <v>434</v>
      </c>
      <c r="F373" t="s">
        <v>436</v>
      </c>
      <c r="G373">
        <v>799</v>
      </c>
      <c r="H373">
        <v>25</v>
      </c>
    </row>
    <row r="374" spans="1:8" x14ac:dyDescent="0.3">
      <c r="A374">
        <v>373</v>
      </c>
      <c r="B374">
        <f>_xlfn.XLOOKUP(C374,[1]Brand!$A$2:$A$88,[1]Brand!$B$2:$B$88)</f>
        <v>8</v>
      </c>
      <c r="C374">
        <v>47</v>
      </c>
      <c r="D374" t="s">
        <v>420</v>
      </c>
      <c r="E374" t="s">
        <v>434</v>
      </c>
      <c r="F374" t="s">
        <v>437</v>
      </c>
      <c r="G374">
        <v>1299</v>
      </c>
      <c r="H374">
        <v>20</v>
      </c>
    </row>
    <row r="375" spans="1:8" x14ac:dyDescent="0.3">
      <c r="A375">
        <v>374</v>
      </c>
      <c r="B375">
        <f>_xlfn.XLOOKUP(C375,[1]Brand!$A$2:$A$88,[1]Brand!$B$2:$B$88)</f>
        <v>8</v>
      </c>
      <c r="C375">
        <v>47</v>
      </c>
      <c r="D375" t="s">
        <v>420</v>
      </c>
      <c r="E375" t="s">
        <v>434</v>
      </c>
      <c r="F375" t="s">
        <v>438</v>
      </c>
      <c r="G375">
        <v>999</v>
      </c>
      <c r="H375">
        <v>30</v>
      </c>
    </row>
    <row r="376" spans="1:8" x14ac:dyDescent="0.3">
      <c r="A376">
        <v>375</v>
      </c>
      <c r="B376">
        <f>_xlfn.XLOOKUP(C376,[1]Brand!$A$2:$A$88,[1]Brand!$B$2:$B$88)</f>
        <v>8</v>
      </c>
      <c r="C376">
        <v>47</v>
      </c>
      <c r="D376" t="s">
        <v>420</v>
      </c>
      <c r="E376" t="s">
        <v>434</v>
      </c>
      <c r="F376" t="s">
        <v>439</v>
      </c>
      <c r="G376">
        <v>1499</v>
      </c>
      <c r="H376">
        <v>15</v>
      </c>
    </row>
    <row r="377" spans="1:8" x14ac:dyDescent="0.3">
      <c r="A377">
        <v>376</v>
      </c>
      <c r="B377">
        <f>_xlfn.XLOOKUP(C377,[1]Brand!$A$2:$A$88,[1]Brand!$B$2:$B$88)</f>
        <v>9</v>
      </c>
      <c r="C377">
        <v>51</v>
      </c>
      <c r="D377" t="s">
        <v>440</v>
      </c>
      <c r="E377" t="s">
        <v>441</v>
      </c>
      <c r="F377" t="s">
        <v>442</v>
      </c>
      <c r="G377">
        <v>299</v>
      </c>
      <c r="H377">
        <v>50</v>
      </c>
    </row>
    <row r="378" spans="1:8" x14ac:dyDescent="0.3">
      <c r="A378">
        <v>377</v>
      </c>
      <c r="B378">
        <f>_xlfn.XLOOKUP(C378,[1]Brand!$A$2:$A$88,[1]Brand!$B$2:$B$88)</f>
        <v>9</v>
      </c>
      <c r="C378">
        <v>51</v>
      </c>
      <c r="D378" t="s">
        <v>440</v>
      </c>
      <c r="E378" t="s">
        <v>441</v>
      </c>
      <c r="F378" t="s">
        <v>443</v>
      </c>
      <c r="G378">
        <v>499</v>
      </c>
      <c r="H378">
        <v>40</v>
      </c>
    </row>
    <row r="379" spans="1:8" x14ac:dyDescent="0.3">
      <c r="A379">
        <v>378</v>
      </c>
      <c r="B379">
        <f>_xlfn.XLOOKUP(C379,[1]Brand!$A$2:$A$88,[1]Brand!$B$2:$B$88)</f>
        <v>9</v>
      </c>
      <c r="C379">
        <v>51</v>
      </c>
      <c r="D379" t="s">
        <v>440</v>
      </c>
      <c r="E379" t="s">
        <v>441</v>
      </c>
      <c r="F379" t="s">
        <v>444</v>
      </c>
      <c r="G379">
        <v>1299</v>
      </c>
      <c r="H379">
        <v>30</v>
      </c>
    </row>
    <row r="380" spans="1:8" x14ac:dyDescent="0.3">
      <c r="A380">
        <v>379</v>
      </c>
      <c r="B380">
        <f>_xlfn.XLOOKUP(C380,[1]Brand!$A$2:$A$88,[1]Brand!$B$2:$B$88)</f>
        <v>9</v>
      </c>
      <c r="C380">
        <v>51</v>
      </c>
      <c r="D380" t="s">
        <v>440</v>
      </c>
      <c r="E380" t="s">
        <v>441</v>
      </c>
      <c r="F380" t="s">
        <v>445</v>
      </c>
      <c r="G380">
        <v>399</v>
      </c>
      <c r="H380">
        <v>35</v>
      </c>
    </row>
    <row r="381" spans="1:8" x14ac:dyDescent="0.3">
      <c r="A381">
        <v>380</v>
      </c>
      <c r="B381">
        <f>_xlfn.XLOOKUP(C381,[1]Brand!$A$2:$A$88,[1]Brand!$B$2:$B$88)</f>
        <v>9</v>
      </c>
      <c r="C381">
        <v>51</v>
      </c>
      <c r="D381" t="s">
        <v>440</v>
      </c>
      <c r="E381" t="s">
        <v>441</v>
      </c>
      <c r="F381" t="s">
        <v>446</v>
      </c>
      <c r="G381">
        <v>999</v>
      </c>
      <c r="H381">
        <v>25</v>
      </c>
    </row>
    <row r="382" spans="1:8" x14ac:dyDescent="0.3">
      <c r="A382">
        <v>381</v>
      </c>
      <c r="B382">
        <f>_xlfn.XLOOKUP(C382,[1]Brand!$A$2:$A$88,[1]Brand!$B$2:$B$88)</f>
        <v>9</v>
      </c>
      <c r="C382">
        <v>49</v>
      </c>
      <c r="D382" t="s">
        <v>440</v>
      </c>
      <c r="E382" t="s">
        <v>447</v>
      </c>
      <c r="F382" t="s">
        <v>448</v>
      </c>
      <c r="G382">
        <v>2499</v>
      </c>
      <c r="H382">
        <v>20</v>
      </c>
    </row>
    <row r="383" spans="1:8" x14ac:dyDescent="0.3">
      <c r="A383">
        <v>382</v>
      </c>
      <c r="B383">
        <f>_xlfn.XLOOKUP(C383,[1]Brand!$A$2:$A$88,[1]Brand!$B$2:$B$88)</f>
        <v>9</v>
      </c>
      <c r="C383">
        <v>49</v>
      </c>
      <c r="D383" t="s">
        <v>440</v>
      </c>
      <c r="E383" t="s">
        <v>447</v>
      </c>
      <c r="F383" t="s">
        <v>449</v>
      </c>
      <c r="G383">
        <v>1799</v>
      </c>
      <c r="H383">
        <v>25</v>
      </c>
    </row>
    <row r="384" spans="1:8" x14ac:dyDescent="0.3">
      <c r="A384">
        <v>383</v>
      </c>
      <c r="B384">
        <f>_xlfn.XLOOKUP(C384,[1]Brand!$A$2:$A$88,[1]Brand!$B$2:$B$88)</f>
        <v>9</v>
      </c>
      <c r="C384">
        <v>49</v>
      </c>
      <c r="D384" t="s">
        <v>440</v>
      </c>
      <c r="E384" t="s">
        <v>447</v>
      </c>
      <c r="F384" t="s">
        <v>450</v>
      </c>
      <c r="G384">
        <v>1999</v>
      </c>
      <c r="H384">
        <v>30</v>
      </c>
    </row>
    <row r="385" spans="1:8" x14ac:dyDescent="0.3">
      <c r="A385">
        <v>384</v>
      </c>
      <c r="B385">
        <f>_xlfn.XLOOKUP(C385,[1]Brand!$A$2:$A$88,[1]Brand!$B$2:$B$88)</f>
        <v>9</v>
      </c>
      <c r="C385">
        <v>49</v>
      </c>
      <c r="D385" t="s">
        <v>440</v>
      </c>
      <c r="E385" t="s">
        <v>447</v>
      </c>
      <c r="F385" t="s">
        <v>451</v>
      </c>
      <c r="G385">
        <v>499</v>
      </c>
      <c r="H385">
        <v>40</v>
      </c>
    </row>
    <row r="386" spans="1:8" x14ac:dyDescent="0.3">
      <c r="A386">
        <v>385</v>
      </c>
      <c r="B386">
        <f>_xlfn.XLOOKUP(C386,[1]Brand!$A$2:$A$88,[1]Brand!$B$2:$B$88)</f>
        <v>9</v>
      </c>
      <c r="C386">
        <v>49</v>
      </c>
      <c r="D386" t="s">
        <v>440</v>
      </c>
      <c r="E386" t="s">
        <v>447</v>
      </c>
      <c r="F386" t="s">
        <v>452</v>
      </c>
      <c r="G386">
        <v>1299</v>
      </c>
      <c r="H386">
        <v>35</v>
      </c>
    </row>
    <row r="387" spans="1:8" x14ac:dyDescent="0.3">
      <c r="A387">
        <v>386</v>
      </c>
      <c r="B387">
        <f>_xlfn.XLOOKUP(C387,[1]Brand!$A$2:$A$88,[1]Brand!$B$2:$B$88)</f>
        <v>9</v>
      </c>
      <c r="C387">
        <v>49</v>
      </c>
      <c r="D387" t="s">
        <v>440</v>
      </c>
      <c r="E387" t="s">
        <v>447</v>
      </c>
      <c r="F387" t="s">
        <v>453</v>
      </c>
      <c r="G387">
        <v>2199</v>
      </c>
      <c r="H387">
        <v>20</v>
      </c>
    </row>
    <row r="388" spans="1:8" x14ac:dyDescent="0.3">
      <c r="A388">
        <v>387</v>
      </c>
      <c r="B388">
        <f>_xlfn.XLOOKUP(C388,[1]Brand!$A$2:$A$88,[1]Brand!$B$2:$B$88)</f>
        <v>9</v>
      </c>
      <c r="C388">
        <v>49</v>
      </c>
      <c r="D388" t="s">
        <v>440</v>
      </c>
      <c r="E388" t="s">
        <v>447</v>
      </c>
      <c r="F388" t="s">
        <v>454</v>
      </c>
      <c r="G388">
        <v>1299</v>
      </c>
      <c r="H388">
        <v>30</v>
      </c>
    </row>
    <row r="389" spans="1:8" x14ac:dyDescent="0.3">
      <c r="A389">
        <v>388</v>
      </c>
      <c r="B389">
        <f>_xlfn.XLOOKUP(C389,[1]Brand!$A$2:$A$88,[1]Brand!$B$2:$B$88)</f>
        <v>9</v>
      </c>
      <c r="C389">
        <v>49</v>
      </c>
      <c r="D389" t="s">
        <v>440</v>
      </c>
      <c r="E389" t="s">
        <v>447</v>
      </c>
      <c r="F389" t="s">
        <v>455</v>
      </c>
      <c r="G389">
        <v>899</v>
      </c>
    </row>
    <row r="390" spans="1:8" x14ac:dyDescent="0.3">
      <c r="A390">
        <v>389</v>
      </c>
      <c r="B390">
        <f>_xlfn.XLOOKUP(C390,[1]Brand!$A$2:$A$88,[1]Brand!$B$2:$B$88)</f>
        <v>9</v>
      </c>
      <c r="C390">
        <v>49</v>
      </c>
      <c r="D390" t="s">
        <v>440</v>
      </c>
      <c r="E390" t="s">
        <v>447</v>
      </c>
      <c r="F390" t="s">
        <v>456</v>
      </c>
      <c r="G390">
        <v>1999</v>
      </c>
      <c r="H390">
        <v>25</v>
      </c>
    </row>
    <row r="391" spans="1:8" x14ac:dyDescent="0.3">
      <c r="A391">
        <v>390</v>
      </c>
      <c r="B391">
        <f>_xlfn.XLOOKUP(C391,[1]Brand!$A$2:$A$88,[1]Brand!$B$2:$B$88)</f>
        <v>9</v>
      </c>
      <c r="C391">
        <v>49</v>
      </c>
      <c r="D391" t="s">
        <v>440</v>
      </c>
      <c r="E391" t="s">
        <v>447</v>
      </c>
      <c r="F391" t="s">
        <v>457</v>
      </c>
      <c r="G391">
        <v>1499</v>
      </c>
      <c r="H391">
        <v>35</v>
      </c>
    </row>
    <row r="392" spans="1:8" x14ac:dyDescent="0.3">
      <c r="A392">
        <v>391</v>
      </c>
      <c r="B392">
        <f>_xlfn.XLOOKUP(C392,[1]Brand!$A$2:$A$88,[1]Brand!$B$2:$B$88)</f>
        <v>9</v>
      </c>
      <c r="C392">
        <v>48</v>
      </c>
      <c r="D392" t="s">
        <v>440</v>
      </c>
      <c r="E392" t="s">
        <v>458</v>
      </c>
      <c r="F392" t="s">
        <v>459</v>
      </c>
      <c r="G392">
        <v>1799</v>
      </c>
      <c r="H392">
        <v>25</v>
      </c>
    </row>
    <row r="393" spans="1:8" x14ac:dyDescent="0.3">
      <c r="A393">
        <v>392</v>
      </c>
      <c r="B393">
        <f>_xlfn.XLOOKUP(C393,[1]Brand!$A$2:$A$88,[1]Brand!$B$2:$B$88)</f>
        <v>9</v>
      </c>
      <c r="C393">
        <v>48</v>
      </c>
      <c r="D393" t="s">
        <v>440</v>
      </c>
      <c r="E393" t="s">
        <v>458</v>
      </c>
      <c r="F393" t="s">
        <v>460</v>
      </c>
      <c r="G393">
        <v>2299</v>
      </c>
      <c r="H393">
        <v>20</v>
      </c>
    </row>
    <row r="394" spans="1:8" x14ac:dyDescent="0.3">
      <c r="A394">
        <v>393</v>
      </c>
      <c r="B394">
        <f>_xlfn.XLOOKUP(C394,[1]Brand!$A$2:$A$88,[1]Brand!$B$2:$B$88)</f>
        <v>9</v>
      </c>
      <c r="C394">
        <v>48</v>
      </c>
      <c r="D394" t="s">
        <v>440</v>
      </c>
      <c r="E394" t="s">
        <v>458</v>
      </c>
      <c r="F394" t="s">
        <v>461</v>
      </c>
      <c r="G394">
        <v>499</v>
      </c>
      <c r="H394">
        <v>40</v>
      </c>
    </row>
    <row r="395" spans="1:8" x14ac:dyDescent="0.3">
      <c r="A395">
        <v>394</v>
      </c>
      <c r="B395">
        <f>_xlfn.XLOOKUP(C395,[1]Brand!$A$2:$A$88,[1]Brand!$B$2:$B$88)</f>
        <v>9</v>
      </c>
      <c r="C395">
        <v>48</v>
      </c>
      <c r="D395" t="s">
        <v>440</v>
      </c>
      <c r="E395" t="s">
        <v>458</v>
      </c>
      <c r="F395" t="s">
        <v>462</v>
      </c>
      <c r="G395">
        <v>1199</v>
      </c>
      <c r="H395">
        <v>30</v>
      </c>
    </row>
    <row r="396" spans="1:8" x14ac:dyDescent="0.3">
      <c r="A396">
        <v>395</v>
      </c>
      <c r="B396">
        <f>_xlfn.XLOOKUP(C396,[1]Brand!$A$2:$A$88,[1]Brand!$B$2:$B$88)</f>
        <v>9</v>
      </c>
      <c r="C396">
        <v>48</v>
      </c>
      <c r="D396" t="s">
        <v>440</v>
      </c>
      <c r="E396" t="s">
        <v>458</v>
      </c>
      <c r="F396" t="s">
        <v>463</v>
      </c>
      <c r="G396">
        <v>1299</v>
      </c>
      <c r="H396">
        <v>35</v>
      </c>
    </row>
    <row r="397" spans="1:8" x14ac:dyDescent="0.3">
      <c r="A397">
        <v>396</v>
      </c>
      <c r="B397">
        <f>_xlfn.XLOOKUP(C397,[1]Brand!$A$2:$A$88,[1]Brand!$B$2:$B$88)</f>
        <v>9</v>
      </c>
      <c r="C397">
        <v>48</v>
      </c>
      <c r="D397" t="s">
        <v>440</v>
      </c>
      <c r="E397" t="s">
        <v>458</v>
      </c>
      <c r="F397" t="s">
        <v>464</v>
      </c>
      <c r="G397">
        <v>2499</v>
      </c>
      <c r="H397">
        <v>20</v>
      </c>
    </row>
    <row r="398" spans="1:8" x14ac:dyDescent="0.3">
      <c r="A398">
        <v>397</v>
      </c>
      <c r="B398">
        <f>_xlfn.XLOOKUP(C398,[1]Brand!$A$2:$A$88,[1]Brand!$B$2:$B$88)</f>
        <v>9</v>
      </c>
      <c r="C398">
        <v>48</v>
      </c>
      <c r="D398" t="s">
        <v>440</v>
      </c>
      <c r="E398" t="s">
        <v>458</v>
      </c>
      <c r="F398" t="s">
        <v>465</v>
      </c>
      <c r="G398">
        <v>1299</v>
      </c>
      <c r="H398">
        <v>30</v>
      </c>
    </row>
    <row r="399" spans="1:8" x14ac:dyDescent="0.3">
      <c r="A399">
        <v>398</v>
      </c>
      <c r="B399">
        <f>_xlfn.XLOOKUP(C399,[1]Brand!$A$2:$A$88,[1]Brand!$B$2:$B$88)</f>
        <v>9</v>
      </c>
      <c r="C399">
        <v>48</v>
      </c>
      <c r="D399" t="s">
        <v>440</v>
      </c>
      <c r="E399" t="s">
        <v>458</v>
      </c>
      <c r="F399" t="s">
        <v>466</v>
      </c>
      <c r="G399">
        <v>999</v>
      </c>
      <c r="H399">
        <v>50</v>
      </c>
    </row>
    <row r="400" spans="1:8" x14ac:dyDescent="0.3">
      <c r="A400">
        <v>399</v>
      </c>
      <c r="B400">
        <f>_xlfn.XLOOKUP(C400,[1]Brand!$A$2:$A$88,[1]Brand!$B$2:$B$88)</f>
        <v>9</v>
      </c>
      <c r="C400">
        <v>48</v>
      </c>
      <c r="D400" t="s">
        <v>440</v>
      </c>
      <c r="E400" t="s">
        <v>458</v>
      </c>
      <c r="F400" t="s">
        <v>467</v>
      </c>
      <c r="G400">
        <v>1999</v>
      </c>
      <c r="H400">
        <v>25</v>
      </c>
    </row>
    <row r="401" spans="1:8" x14ac:dyDescent="0.3">
      <c r="A401">
        <v>400</v>
      </c>
      <c r="B401">
        <f>_xlfn.XLOOKUP(C401,[1]Brand!$A$2:$A$88,[1]Brand!$B$2:$B$88)</f>
        <v>9</v>
      </c>
      <c r="C401">
        <v>48</v>
      </c>
      <c r="D401" t="s">
        <v>440</v>
      </c>
      <c r="E401" t="s">
        <v>458</v>
      </c>
      <c r="F401" t="s">
        <v>468</v>
      </c>
      <c r="G401">
        <v>1499</v>
      </c>
      <c r="H401">
        <v>35</v>
      </c>
    </row>
    <row r="402" spans="1:8" x14ac:dyDescent="0.3">
      <c r="A402">
        <v>401</v>
      </c>
      <c r="B402">
        <f>_xlfn.XLOOKUP(C402,[1]Brand!$A$2:$A$88,[1]Brand!$B$2:$B$88)</f>
        <v>12</v>
      </c>
      <c r="C402">
        <v>66</v>
      </c>
      <c r="D402" t="s">
        <v>469</v>
      </c>
      <c r="E402" t="s">
        <v>470</v>
      </c>
      <c r="F402" t="s">
        <v>471</v>
      </c>
      <c r="G402">
        <v>299</v>
      </c>
      <c r="H402">
        <v>50</v>
      </c>
    </row>
    <row r="403" spans="1:8" x14ac:dyDescent="0.3">
      <c r="A403">
        <v>402</v>
      </c>
      <c r="B403">
        <f>_xlfn.XLOOKUP(C403,[1]Brand!$A$2:$A$88,[1]Brand!$B$2:$B$88)</f>
        <v>12</v>
      </c>
      <c r="C403">
        <v>66</v>
      </c>
      <c r="D403" t="s">
        <v>469</v>
      </c>
      <c r="E403" t="s">
        <v>470</v>
      </c>
      <c r="F403" t="s">
        <v>472</v>
      </c>
      <c r="G403">
        <v>399</v>
      </c>
      <c r="H403">
        <v>30</v>
      </c>
    </row>
    <row r="404" spans="1:8" x14ac:dyDescent="0.3">
      <c r="A404">
        <v>403</v>
      </c>
      <c r="B404">
        <f>_xlfn.XLOOKUP(C404,[1]Brand!$A$2:$A$88,[1]Brand!$B$2:$B$88)</f>
        <v>12</v>
      </c>
      <c r="C404">
        <v>66</v>
      </c>
      <c r="D404" t="s">
        <v>469</v>
      </c>
      <c r="E404" t="s">
        <v>470</v>
      </c>
      <c r="F404" t="s">
        <v>473</v>
      </c>
      <c r="G404">
        <v>499</v>
      </c>
      <c r="H404">
        <v>20</v>
      </c>
    </row>
    <row r="405" spans="1:8" x14ac:dyDescent="0.3">
      <c r="A405">
        <v>404</v>
      </c>
      <c r="B405">
        <f>_xlfn.XLOOKUP(C405,[1]Brand!$A$2:$A$88,[1]Brand!$B$2:$B$88)</f>
        <v>12</v>
      </c>
      <c r="C405">
        <v>67</v>
      </c>
      <c r="D405" t="s">
        <v>469</v>
      </c>
      <c r="E405" t="s">
        <v>474</v>
      </c>
      <c r="F405" t="s">
        <v>475</v>
      </c>
      <c r="G405">
        <v>176.33</v>
      </c>
      <c r="H405">
        <v>3</v>
      </c>
    </row>
    <row r="406" spans="1:8" x14ac:dyDescent="0.3">
      <c r="A406">
        <v>405</v>
      </c>
      <c r="B406">
        <f>_xlfn.XLOOKUP(C406,[1]Brand!$A$2:$A$88,[1]Brand!$B$2:$B$88)</f>
        <v>12</v>
      </c>
      <c r="C406">
        <v>67</v>
      </c>
      <c r="D406" t="s">
        <v>469</v>
      </c>
      <c r="E406" t="s">
        <v>474</v>
      </c>
      <c r="F406" t="s">
        <v>476</v>
      </c>
      <c r="G406">
        <v>150</v>
      </c>
      <c r="H406">
        <v>5</v>
      </c>
    </row>
    <row r="407" spans="1:8" x14ac:dyDescent="0.3">
      <c r="A407">
        <v>406</v>
      </c>
      <c r="B407">
        <f>_xlfn.XLOOKUP(C407,[1]Brand!$A$2:$A$88,[1]Brand!$B$2:$B$88)</f>
        <v>12</v>
      </c>
      <c r="C407">
        <v>67</v>
      </c>
      <c r="D407" t="s">
        <v>469</v>
      </c>
      <c r="E407" t="s">
        <v>474</v>
      </c>
      <c r="F407" t="s">
        <v>477</v>
      </c>
      <c r="G407">
        <v>200</v>
      </c>
      <c r="H407">
        <v>2</v>
      </c>
    </row>
    <row r="408" spans="1:8" x14ac:dyDescent="0.3">
      <c r="A408">
        <v>407</v>
      </c>
      <c r="B408">
        <f>_xlfn.XLOOKUP(C408,[1]Brand!$A$2:$A$88,[1]Brand!$B$2:$B$88)</f>
        <v>12</v>
      </c>
      <c r="C408">
        <v>67</v>
      </c>
      <c r="D408" t="s">
        <v>469</v>
      </c>
      <c r="E408" t="s">
        <v>474</v>
      </c>
      <c r="F408" t="s">
        <v>478</v>
      </c>
      <c r="G408">
        <v>180</v>
      </c>
      <c r="H408">
        <v>4</v>
      </c>
    </row>
    <row r="409" spans="1:8" x14ac:dyDescent="0.3">
      <c r="A409">
        <v>408</v>
      </c>
      <c r="B409">
        <f>_xlfn.XLOOKUP(C409,[1]Brand!$A$2:$A$88,[1]Brand!$B$2:$B$88)</f>
        <v>13</v>
      </c>
      <c r="C409">
        <v>68</v>
      </c>
      <c r="D409" t="s">
        <v>479</v>
      </c>
      <c r="E409" t="s">
        <v>480</v>
      </c>
      <c r="F409" t="s">
        <v>481</v>
      </c>
      <c r="G409">
        <v>499</v>
      </c>
      <c r="H409">
        <v>10</v>
      </c>
    </row>
    <row r="410" spans="1:8" x14ac:dyDescent="0.3">
      <c r="A410">
        <v>409</v>
      </c>
      <c r="B410">
        <f>_xlfn.XLOOKUP(C410,[1]Brand!$A$2:$A$88,[1]Brand!$B$2:$B$88)</f>
        <v>13</v>
      </c>
      <c r="C410">
        <v>68</v>
      </c>
      <c r="D410" t="s">
        <v>479</v>
      </c>
      <c r="E410" t="s">
        <v>480</v>
      </c>
      <c r="F410" t="s">
        <v>482</v>
      </c>
      <c r="G410">
        <v>799</v>
      </c>
      <c r="H410">
        <v>5</v>
      </c>
    </row>
    <row r="411" spans="1:8" x14ac:dyDescent="0.3">
      <c r="A411">
        <v>410</v>
      </c>
      <c r="B411">
        <f>_xlfn.XLOOKUP(C411,[1]Brand!$A$2:$A$88,[1]Brand!$B$2:$B$88)</f>
        <v>13</v>
      </c>
      <c r="C411">
        <v>68</v>
      </c>
      <c r="D411" t="s">
        <v>479</v>
      </c>
      <c r="E411" t="s">
        <v>480</v>
      </c>
      <c r="F411" t="s">
        <v>483</v>
      </c>
      <c r="G411">
        <v>699</v>
      </c>
      <c r="H411">
        <v>8</v>
      </c>
    </row>
    <row r="412" spans="1:8" x14ac:dyDescent="0.3">
      <c r="A412">
        <v>411</v>
      </c>
      <c r="B412">
        <f>_xlfn.XLOOKUP(C412,[1]Brand!$A$2:$A$88,[1]Brand!$B$2:$B$88)</f>
        <v>13</v>
      </c>
      <c r="C412">
        <v>68</v>
      </c>
      <c r="D412" t="s">
        <v>479</v>
      </c>
      <c r="E412" t="s">
        <v>480</v>
      </c>
      <c r="F412" t="s">
        <v>484</v>
      </c>
      <c r="G412">
        <v>599</v>
      </c>
      <c r="H412">
        <v>7</v>
      </c>
    </row>
    <row r="413" spans="1:8" x14ac:dyDescent="0.3">
      <c r="A413">
        <v>412</v>
      </c>
      <c r="B413">
        <f>_xlfn.XLOOKUP(C413,[1]Brand!$A$2:$A$88,[1]Brand!$B$2:$B$88)</f>
        <v>13</v>
      </c>
      <c r="C413">
        <v>69</v>
      </c>
      <c r="D413" t="s">
        <v>479</v>
      </c>
      <c r="E413" t="s">
        <v>485</v>
      </c>
      <c r="F413" t="s">
        <v>486</v>
      </c>
      <c r="G413">
        <v>450</v>
      </c>
      <c r="H413">
        <v>12</v>
      </c>
    </row>
    <row r="414" spans="1:8" x14ac:dyDescent="0.3">
      <c r="A414">
        <v>413</v>
      </c>
      <c r="B414">
        <f>_xlfn.XLOOKUP(C414,[1]Brand!$A$2:$A$88,[1]Brand!$B$2:$B$88)</f>
        <v>13</v>
      </c>
      <c r="C414">
        <v>69</v>
      </c>
      <c r="D414" t="s">
        <v>479</v>
      </c>
      <c r="E414" t="s">
        <v>485</v>
      </c>
      <c r="F414" t="s">
        <v>487</v>
      </c>
      <c r="G414">
        <v>950</v>
      </c>
      <c r="H414">
        <v>6</v>
      </c>
    </row>
    <row r="415" spans="1:8" x14ac:dyDescent="0.3">
      <c r="A415">
        <v>414</v>
      </c>
      <c r="B415">
        <f>_xlfn.XLOOKUP(C415,[1]Brand!$A$2:$A$88,[1]Brand!$B$2:$B$88)</f>
        <v>13</v>
      </c>
      <c r="C415">
        <v>69</v>
      </c>
      <c r="D415" t="s">
        <v>479</v>
      </c>
      <c r="E415" t="s">
        <v>485</v>
      </c>
      <c r="F415" t="s">
        <v>488</v>
      </c>
      <c r="G415">
        <v>700</v>
      </c>
      <c r="H415">
        <v>9</v>
      </c>
    </row>
    <row r="416" spans="1:8" x14ac:dyDescent="0.3">
      <c r="A416">
        <v>415</v>
      </c>
      <c r="B416">
        <f>_xlfn.XLOOKUP(C416,[1]Brand!$A$2:$A$88,[1]Brand!$B$2:$B$88)</f>
        <v>13</v>
      </c>
      <c r="C416">
        <v>69</v>
      </c>
      <c r="D416" t="s">
        <v>479</v>
      </c>
      <c r="E416" t="s">
        <v>485</v>
      </c>
      <c r="F416" t="s">
        <v>489</v>
      </c>
      <c r="G416">
        <v>550</v>
      </c>
      <c r="H416">
        <v>8</v>
      </c>
    </row>
    <row r="417" spans="1:8" x14ac:dyDescent="0.3">
      <c r="A417">
        <v>416</v>
      </c>
      <c r="B417">
        <f>_xlfn.XLOOKUP(C417,[1]Brand!$A$2:$A$88,[1]Brand!$B$2:$B$88)</f>
        <v>13</v>
      </c>
      <c r="C417">
        <v>70</v>
      </c>
      <c r="D417" t="s">
        <v>479</v>
      </c>
      <c r="E417" t="s">
        <v>490</v>
      </c>
      <c r="F417" t="s">
        <v>491</v>
      </c>
      <c r="G417">
        <v>799</v>
      </c>
      <c r="H417">
        <v>15</v>
      </c>
    </row>
    <row r="418" spans="1:8" x14ac:dyDescent="0.3">
      <c r="A418">
        <v>417</v>
      </c>
      <c r="B418">
        <f>_xlfn.XLOOKUP(C418,[1]Brand!$A$2:$A$88,[1]Brand!$B$2:$B$88)</f>
        <v>13</v>
      </c>
      <c r="C418">
        <v>70</v>
      </c>
      <c r="D418" t="s">
        <v>479</v>
      </c>
      <c r="E418" t="s">
        <v>490</v>
      </c>
      <c r="F418" t="s">
        <v>492</v>
      </c>
      <c r="G418">
        <v>499</v>
      </c>
      <c r="H418">
        <v>10</v>
      </c>
    </row>
    <row r="419" spans="1:8" x14ac:dyDescent="0.3">
      <c r="A419">
        <v>418</v>
      </c>
      <c r="B419">
        <f>_xlfn.XLOOKUP(C419,[1]Brand!$A$2:$A$88,[1]Brand!$B$2:$B$88)</f>
        <v>13</v>
      </c>
      <c r="C419">
        <v>70</v>
      </c>
      <c r="D419" t="s">
        <v>479</v>
      </c>
      <c r="E419" t="s">
        <v>490</v>
      </c>
      <c r="F419" t="s">
        <v>493</v>
      </c>
      <c r="G419">
        <v>699</v>
      </c>
      <c r="H419">
        <v>12</v>
      </c>
    </row>
    <row r="420" spans="1:8" x14ac:dyDescent="0.3">
      <c r="A420">
        <v>419</v>
      </c>
      <c r="B420">
        <f>_xlfn.XLOOKUP(C420,[1]Brand!$A$2:$A$88,[1]Brand!$B$2:$B$88)</f>
        <v>13</v>
      </c>
      <c r="C420">
        <v>70</v>
      </c>
      <c r="D420" t="s">
        <v>479</v>
      </c>
      <c r="E420" t="s">
        <v>490</v>
      </c>
      <c r="F420" t="s">
        <v>494</v>
      </c>
      <c r="G420">
        <v>599</v>
      </c>
      <c r="H420">
        <v>8</v>
      </c>
    </row>
    <row r="421" spans="1:8" x14ac:dyDescent="0.3">
      <c r="A421">
        <v>420</v>
      </c>
      <c r="B421">
        <f>_xlfn.XLOOKUP(C421,[1]Brand!$A$2:$A$88,[1]Brand!$B$2:$B$88)</f>
        <v>13</v>
      </c>
      <c r="C421">
        <v>71</v>
      </c>
      <c r="D421" t="s">
        <v>479</v>
      </c>
      <c r="E421" t="s">
        <v>495</v>
      </c>
      <c r="F421" t="s">
        <v>496</v>
      </c>
      <c r="G421">
        <v>899</v>
      </c>
      <c r="H421">
        <v>10</v>
      </c>
    </row>
    <row r="422" spans="1:8" x14ac:dyDescent="0.3">
      <c r="A422">
        <v>421</v>
      </c>
      <c r="B422">
        <f>_xlfn.XLOOKUP(C422,[1]Brand!$A$2:$A$88,[1]Brand!$B$2:$B$88)</f>
        <v>13</v>
      </c>
      <c r="C422">
        <v>71</v>
      </c>
      <c r="D422" t="s">
        <v>479</v>
      </c>
      <c r="E422" t="s">
        <v>495</v>
      </c>
      <c r="F422" t="s">
        <v>497</v>
      </c>
      <c r="G422">
        <v>1099</v>
      </c>
      <c r="H422">
        <v>7</v>
      </c>
    </row>
    <row r="423" spans="1:8" x14ac:dyDescent="0.3">
      <c r="A423">
        <v>422</v>
      </c>
      <c r="B423">
        <f>_xlfn.XLOOKUP(C423,[1]Brand!$A$2:$A$88,[1]Brand!$B$2:$B$88)</f>
        <v>13</v>
      </c>
      <c r="C423">
        <v>71</v>
      </c>
      <c r="D423" t="s">
        <v>479</v>
      </c>
      <c r="E423" t="s">
        <v>495</v>
      </c>
      <c r="F423" t="s">
        <v>498</v>
      </c>
      <c r="G423">
        <v>799</v>
      </c>
      <c r="H423">
        <v>12</v>
      </c>
    </row>
    <row r="424" spans="1:8" x14ac:dyDescent="0.3">
      <c r="A424">
        <v>423</v>
      </c>
      <c r="B424">
        <f>_xlfn.XLOOKUP(C424,[1]Brand!$A$2:$A$88,[1]Brand!$B$2:$B$88)</f>
        <v>13</v>
      </c>
      <c r="C424">
        <v>71</v>
      </c>
      <c r="D424" t="s">
        <v>479</v>
      </c>
      <c r="E424" t="s">
        <v>495</v>
      </c>
      <c r="F424" t="s">
        <v>499</v>
      </c>
      <c r="G424">
        <v>599</v>
      </c>
      <c r="H424">
        <v>15</v>
      </c>
    </row>
    <row r="425" spans="1:8" x14ac:dyDescent="0.3">
      <c r="A425">
        <v>424</v>
      </c>
      <c r="B425">
        <f>_xlfn.XLOOKUP(C425,[1]Brand!$A$2:$A$88,[1]Brand!$B$2:$B$88)</f>
        <v>13</v>
      </c>
      <c r="C425">
        <v>72</v>
      </c>
      <c r="D425" t="s">
        <v>479</v>
      </c>
      <c r="E425" t="s">
        <v>500</v>
      </c>
      <c r="F425" t="s">
        <v>501</v>
      </c>
      <c r="G425">
        <v>799</v>
      </c>
      <c r="H425">
        <v>10</v>
      </c>
    </row>
    <row r="426" spans="1:8" x14ac:dyDescent="0.3">
      <c r="A426">
        <v>425</v>
      </c>
      <c r="B426">
        <f>_xlfn.XLOOKUP(C426,[1]Brand!$A$2:$A$88,[1]Brand!$B$2:$B$88)</f>
        <v>13</v>
      </c>
      <c r="C426">
        <v>72</v>
      </c>
      <c r="D426" t="s">
        <v>479</v>
      </c>
      <c r="E426" t="s">
        <v>500</v>
      </c>
      <c r="F426" t="s">
        <v>502</v>
      </c>
      <c r="G426">
        <v>999</v>
      </c>
      <c r="H426">
        <v>5</v>
      </c>
    </row>
    <row r="427" spans="1:8" x14ac:dyDescent="0.3">
      <c r="A427">
        <v>426</v>
      </c>
      <c r="B427">
        <f>_xlfn.XLOOKUP(C427,[1]Brand!$A$2:$A$88,[1]Brand!$B$2:$B$88)</f>
        <v>13</v>
      </c>
      <c r="C427">
        <v>72</v>
      </c>
      <c r="D427" t="s">
        <v>479</v>
      </c>
      <c r="E427" t="s">
        <v>500</v>
      </c>
      <c r="F427" t="s">
        <v>503</v>
      </c>
      <c r="G427">
        <v>899</v>
      </c>
      <c r="H427">
        <v>8</v>
      </c>
    </row>
    <row r="428" spans="1:8" x14ac:dyDescent="0.3">
      <c r="A428">
        <v>427</v>
      </c>
      <c r="B428">
        <f>_xlfn.XLOOKUP(C428,[1]Brand!$A$2:$A$88,[1]Brand!$B$2:$B$88)</f>
        <v>13</v>
      </c>
      <c r="C428">
        <v>72</v>
      </c>
      <c r="D428" t="s">
        <v>479</v>
      </c>
      <c r="E428" t="s">
        <v>500</v>
      </c>
      <c r="F428" t="s">
        <v>504</v>
      </c>
      <c r="G428">
        <v>699</v>
      </c>
      <c r="H428">
        <v>12</v>
      </c>
    </row>
    <row r="429" spans="1:8" x14ac:dyDescent="0.3">
      <c r="A429">
        <v>428</v>
      </c>
      <c r="B429">
        <f>_xlfn.XLOOKUP(C429,[1]Brand!$A$2:$A$88,[1]Brand!$B$2:$B$88)</f>
        <v>14</v>
      </c>
      <c r="C429">
        <v>73</v>
      </c>
      <c r="D429" t="s">
        <v>505</v>
      </c>
      <c r="E429" t="s">
        <v>506</v>
      </c>
      <c r="F429" t="s">
        <v>507</v>
      </c>
      <c r="G429">
        <v>1499</v>
      </c>
      <c r="H429">
        <v>8</v>
      </c>
    </row>
    <row r="430" spans="1:8" x14ac:dyDescent="0.3">
      <c r="A430">
        <v>429</v>
      </c>
      <c r="B430">
        <f>_xlfn.XLOOKUP(C430,[1]Brand!$A$2:$A$88,[1]Brand!$B$2:$B$88)</f>
        <v>14</v>
      </c>
      <c r="C430">
        <v>73</v>
      </c>
      <c r="D430" t="s">
        <v>505</v>
      </c>
      <c r="E430" t="s">
        <v>506</v>
      </c>
      <c r="F430" t="s">
        <v>508</v>
      </c>
      <c r="G430">
        <v>1299</v>
      </c>
      <c r="H430">
        <v>10</v>
      </c>
    </row>
    <row r="431" spans="1:8" x14ac:dyDescent="0.3">
      <c r="A431">
        <v>430</v>
      </c>
      <c r="B431">
        <f>_xlfn.XLOOKUP(C431,[1]Brand!$A$2:$A$88,[1]Brand!$B$2:$B$88)</f>
        <v>14</v>
      </c>
      <c r="C431">
        <v>73</v>
      </c>
      <c r="D431" t="s">
        <v>505</v>
      </c>
      <c r="E431" t="s">
        <v>506</v>
      </c>
      <c r="F431" t="s">
        <v>509</v>
      </c>
      <c r="G431">
        <v>999</v>
      </c>
      <c r="H431">
        <v>12</v>
      </c>
    </row>
    <row r="432" spans="1:8" x14ac:dyDescent="0.3">
      <c r="A432">
        <v>431</v>
      </c>
      <c r="B432">
        <f>_xlfn.XLOOKUP(C432,[1]Brand!$A$2:$A$88,[1]Brand!$B$2:$B$88)</f>
        <v>14</v>
      </c>
      <c r="C432">
        <v>73</v>
      </c>
      <c r="D432" t="s">
        <v>505</v>
      </c>
      <c r="E432" t="s">
        <v>506</v>
      </c>
      <c r="F432" t="s">
        <v>510</v>
      </c>
      <c r="G432">
        <v>799</v>
      </c>
      <c r="H432">
        <v>15</v>
      </c>
    </row>
    <row r="433" spans="1:8" x14ac:dyDescent="0.3">
      <c r="A433">
        <v>432</v>
      </c>
      <c r="B433">
        <f>_xlfn.XLOOKUP(C433,[1]Brand!$A$2:$A$88,[1]Brand!$B$2:$B$88)</f>
        <v>14</v>
      </c>
      <c r="C433">
        <v>74</v>
      </c>
      <c r="D433" t="s">
        <v>505</v>
      </c>
      <c r="E433" t="s">
        <v>511</v>
      </c>
      <c r="F433" t="s">
        <v>512</v>
      </c>
      <c r="G433">
        <v>1399</v>
      </c>
      <c r="H433">
        <v>10</v>
      </c>
    </row>
    <row r="434" spans="1:8" x14ac:dyDescent="0.3">
      <c r="A434">
        <v>433</v>
      </c>
      <c r="B434">
        <f>_xlfn.XLOOKUP(C434,[1]Brand!$A$2:$A$88,[1]Brand!$B$2:$B$88)</f>
        <v>14</v>
      </c>
      <c r="C434">
        <v>74</v>
      </c>
      <c r="D434" t="s">
        <v>505</v>
      </c>
      <c r="E434" t="s">
        <v>511</v>
      </c>
      <c r="F434" t="s">
        <v>513</v>
      </c>
      <c r="G434">
        <v>1599</v>
      </c>
      <c r="H434">
        <v>7</v>
      </c>
    </row>
    <row r="435" spans="1:8" x14ac:dyDescent="0.3">
      <c r="A435">
        <v>434</v>
      </c>
      <c r="B435">
        <f>_xlfn.XLOOKUP(C435,[1]Brand!$A$2:$A$88,[1]Brand!$B$2:$B$88)</f>
        <v>14</v>
      </c>
      <c r="C435">
        <v>74</v>
      </c>
      <c r="D435" t="s">
        <v>505</v>
      </c>
      <c r="E435" t="s">
        <v>511</v>
      </c>
      <c r="F435" t="s">
        <v>514</v>
      </c>
      <c r="G435">
        <v>999</v>
      </c>
      <c r="H435">
        <v>12</v>
      </c>
    </row>
    <row r="436" spans="1:8" x14ac:dyDescent="0.3">
      <c r="A436">
        <v>435</v>
      </c>
      <c r="B436">
        <f>_xlfn.XLOOKUP(C436,[1]Brand!$A$2:$A$88,[1]Brand!$B$2:$B$88)</f>
        <v>14</v>
      </c>
      <c r="C436">
        <v>74</v>
      </c>
      <c r="D436" t="s">
        <v>505</v>
      </c>
      <c r="E436" t="s">
        <v>511</v>
      </c>
      <c r="F436" t="s">
        <v>515</v>
      </c>
      <c r="G436">
        <v>499</v>
      </c>
      <c r="H436">
        <v>15</v>
      </c>
    </row>
    <row r="437" spans="1:8" x14ac:dyDescent="0.3">
      <c r="A437">
        <v>436</v>
      </c>
      <c r="B437">
        <f>_xlfn.XLOOKUP(C437,[1]Brand!$A$2:$A$88,[1]Brand!$B$2:$B$88)</f>
        <v>14</v>
      </c>
      <c r="C437">
        <v>75</v>
      </c>
      <c r="D437" t="s">
        <v>505</v>
      </c>
      <c r="E437" t="s">
        <v>516</v>
      </c>
      <c r="F437" t="s">
        <v>517</v>
      </c>
      <c r="G437">
        <v>1299</v>
      </c>
      <c r="H437">
        <v>10</v>
      </c>
    </row>
    <row r="438" spans="1:8" x14ac:dyDescent="0.3">
      <c r="A438">
        <v>437</v>
      </c>
      <c r="B438">
        <f>_xlfn.XLOOKUP(C438,[1]Brand!$A$2:$A$88,[1]Brand!$B$2:$B$88)</f>
        <v>14</v>
      </c>
      <c r="C438">
        <v>75</v>
      </c>
      <c r="D438" t="s">
        <v>505</v>
      </c>
      <c r="E438" t="s">
        <v>516</v>
      </c>
      <c r="F438" t="s">
        <v>518</v>
      </c>
      <c r="G438">
        <v>1499</v>
      </c>
      <c r="H438">
        <v>7</v>
      </c>
    </row>
    <row r="439" spans="1:8" x14ac:dyDescent="0.3">
      <c r="A439">
        <v>438</v>
      </c>
      <c r="B439">
        <f>_xlfn.XLOOKUP(C439,[1]Brand!$A$2:$A$88,[1]Brand!$B$2:$B$88)</f>
        <v>14</v>
      </c>
      <c r="C439">
        <v>75</v>
      </c>
      <c r="D439" t="s">
        <v>505</v>
      </c>
      <c r="E439" t="s">
        <v>516</v>
      </c>
      <c r="F439" t="s">
        <v>519</v>
      </c>
      <c r="G439">
        <v>999</v>
      </c>
      <c r="H439">
        <v>12</v>
      </c>
    </row>
    <row r="440" spans="1:8" x14ac:dyDescent="0.3">
      <c r="A440">
        <v>439</v>
      </c>
      <c r="B440">
        <f>_xlfn.XLOOKUP(C440,[1]Brand!$A$2:$A$88,[1]Brand!$B$2:$B$88)</f>
        <v>14</v>
      </c>
      <c r="C440">
        <v>75</v>
      </c>
      <c r="D440" t="s">
        <v>505</v>
      </c>
      <c r="E440" t="s">
        <v>516</v>
      </c>
      <c r="F440" t="s">
        <v>520</v>
      </c>
      <c r="G440">
        <v>599</v>
      </c>
      <c r="H440">
        <v>15</v>
      </c>
    </row>
    <row r="441" spans="1:8" x14ac:dyDescent="0.3">
      <c r="A441">
        <v>440</v>
      </c>
      <c r="B441">
        <f>_xlfn.XLOOKUP(C441,[1]Brand!$A$2:$A$88,[1]Brand!$B$2:$B$88)</f>
        <v>14</v>
      </c>
      <c r="C441">
        <v>76</v>
      </c>
      <c r="D441" t="s">
        <v>505</v>
      </c>
      <c r="E441" t="s">
        <v>521</v>
      </c>
      <c r="F441" t="s">
        <v>522</v>
      </c>
      <c r="G441">
        <v>1599</v>
      </c>
      <c r="H441">
        <v>10</v>
      </c>
    </row>
    <row r="442" spans="1:8" x14ac:dyDescent="0.3">
      <c r="A442">
        <v>441</v>
      </c>
      <c r="B442">
        <f>_xlfn.XLOOKUP(C442,[1]Brand!$A$2:$A$88,[1]Brand!$B$2:$B$88)</f>
        <v>14</v>
      </c>
      <c r="C442">
        <v>76</v>
      </c>
      <c r="D442" t="s">
        <v>505</v>
      </c>
      <c r="E442" t="s">
        <v>521</v>
      </c>
      <c r="F442" t="s">
        <v>523</v>
      </c>
      <c r="G442">
        <v>1299</v>
      </c>
      <c r="H442">
        <v>8</v>
      </c>
    </row>
    <row r="443" spans="1:8" x14ac:dyDescent="0.3">
      <c r="A443">
        <v>442</v>
      </c>
      <c r="B443">
        <f>_xlfn.XLOOKUP(C443,[1]Brand!$A$2:$A$88,[1]Brand!$B$2:$B$88)</f>
        <v>14</v>
      </c>
      <c r="C443">
        <v>76</v>
      </c>
      <c r="D443" t="s">
        <v>505</v>
      </c>
      <c r="E443" t="s">
        <v>521</v>
      </c>
      <c r="F443" t="s">
        <v>524</v>
      </c>
      <c r="G443">
        <v>999</v>
      </c>
      <c r="H443">
        <v>12</v>
      </c>
    </row>
    <row r="444" spans="1:8" x14ac:dyDescent="0.3">
      <c r="A444">
        <v>443</v>
      </c>
      <c r="B444">
        <f>_xlfn.XLOOKUP(C444,[1]Brand!$A$2:$A$88,[1]Brand!$B$2:$B$88)</f>
        <v>14</v>
      </c>
      <c r="C444">
        <v>76</v>
      </c>
      <c r="D444" t="s">
        <v>505</v>
      </c>
      <c r="E444" t="s">
        <v>521</v>
      </c>
      <c r="F444" t="s">
        <v>525</v>
      </c>
      <c r="G444">
        <v>2499</v>
      </c>
      <c r="H444">
        <v>5</v>
      </c>
    </row>
    <row r="445" spans="1:8" x14ac:dyDescent="0.3">
      <c r="A445">
        <v>444</v>
      </c>
      <c r="B445">
        <f>_xlfn.XLOOKUP(C445,[1]Brand!$A$2:$A$88,[1]Brand!$B$2:$B$88)</f>
        <v>14</v>
      </c>
      <c r="C445">
        <v>77</v>
      </c>
      <c r="D445" t="s">
        <v>505</v>
      </c>
      <c r="E445" t="s">
        <v>526</v>
      </c>
      <c r="F445" t="s">
        <v>527</v>
      </c>
      <c r="G445">
        <v>1299</v>
      </c>
      <c r="H445">
        <v>10</v>
      </c>
    </row>
    <row r="446" spans="1:8" x14ac:dyDescent="0.3">
      <c r="A446">
        <v>445</v>
      </c>
      <c r="B446">
        <f>_xlfn.XLOOKUP(C446,[1]Brand!$A$2:$A$88,[1]Brand!$B$2:$B$88)</f>
        <v>14</v>
      </c>
      <c r="C446">
        <v>77</v>
      </c>
      <c r="D446" t="s">
        <v>505</v>
      </c>
      <c r="E446" t="s">
        <v>526</v>
      </c>
      <c r="F446" t="s">
        <v>528</v>
      </c>
      <c r="G446">
        <v>3599</v>
      </c>
      <c r="H446">
        <v>7</v>
      </c>
    </row>
    <row r="447" spans="1:8" x14ac:dyDescent="0.3">
      <c r="A447">
        <v>446</v>
      </c>
      <c r="B447">
        <f>_xlfn.XLOOKUP(C447,[1]Brand!$A$2:$A$88,[1]Brand!$B$2:$B$88)</f>
        <v>14</v>
      </c>
      <c r="C447">
        <v>77</v>
      </c>
      <c r="D447" t="s">
        <v>505</v>
      </c>
      <c r="E447" t="s">
        <v>526</v>
      </c>
      <c r="F447" t="s">
        <v>529</v>
      </c>
      <c r="G447">
        <v>3999</v>
      </c>
      <c r="H447">
        <v>5</v>
      </c>
    </row>
    <row r="448" spans="1:8" x14ac:dyDescent="0.3">
      <c r="A448">
        <v>447</v>
      </c>
      <c r="B448">
        <f>_xlfn.XLOOKUP(C448,[1]Brand!$A$2:$A$88,[1]Brand!$B$2:$B$88)</f>
        <v>14</v>
      </c>
      <c r="C448">
        <v>77</v>
      </c>
      <c r="D448" t="s">
        <v>505</v>
      </c>
      <c r="E448" t="s">
        <v>526</v>
      </c>
      <c r="F448" t="s">
        <v>530</v>
      </c>
      <c r="G448">
        <v>2599</v>
      </c>
      <c r="H448">
        <v>8</v>
      </c>
    </row>
    <row r="449" spans="1:8" x14ac:dyDescent="0.3">
      <c r="A449">
        <v>448</v>
      </c>
      <c r="B449">
        <f>_xlfn.XLOOKUP(C449,[1]Brand!$A$2:$A$88,[1]Brand!$B$2:$B$88)</f>
        <v>15</v>
      </c>
      <c r="C449">
        <v>78</v>
      </c>
      <c r="D449" t="s">
        <v>531</v>
      </c>
      <c r="E449" t="s">
        <v>532</v>
      </c>
      <c r="F449" t="s">
        <v>533</v>
      </c>
      <c r="G449">
        <v>1299</v>
      </c>
      <c r="H449">
        <v>10</v>
      </c>
    </row>
    <row r="450" spans="1:8" x14ac:dyDescent="0.3">
      <c r="A450">
        <v>449</v>
      </c>
      <c r="B450">
        <f>_xlfn.XLOOKUP(C450,[1]Brand!$A$2:$A$88,[1]Brand!$B$2:$B$88)</f>
        <v>15</v>
      </c>
      <c r="C450">
        <v>78</v>
      </c>
      <c r="D450" t="s">
        <v>531</v>
      </c>
      <c r="E450" t="s">
        <v>532</v>
      </c>
      <c r="F450" t="s">
        <v>534</v>
      </c>
      <c r="G450">
        <v>1499</v>
      </c>
      <c r="H450">
        <v>8</v>
      </c>
    </row>
    <row r="451" spans="1:8" x14ac:dyDescent="0.3">
      <c r="A451">
        <v>450</v>
      </c>
      <c r="B451">
        <f>_xlfn.XLOOKUP(C451,[1]Brand!$A$2:$A$88,[1]Brand!$B$2:$B$88)</f>
        <v>15</v>
      </c>
      <c r="C451">
        <v>78</v>
      </c>
      <c r="D451" t="s">
        <v>531</v>
      </c>
      <c r="E451" t="s">
        <v>532</v>
      </c>
      <c r="F451" t="s">
        <v>535</v>
      </c>
      <c r="G451">
        <v>999</v>
      </c>
      <c r="H451">
        <v>12</v>
      </c>
    </row>
    <row r="452" spans="1:8" x14ac:dyDescent="0.3">
      <c r="A452">
        <v>451</v>
      </c>
      <c r="B452">
        <f>_xlfn.XLOOKUP(C452,[1]Brand!$A$2:$A$88,[1]Brand!$B$2:$B$88)</f>
        <v>15</v>
      </c>
      <c r="C452">
        <v>78</v>
      </c>
      <c r="D452" t="s">
        <v>531</v>
      </c>
      <c r="E452" t="s">
        <v>532</v>
      </c>
      <c r="F452" t="s">
        <v>536</v>
      </c>
      <c r="G452">
        <v>3499</v>
      </c>
      <c r="H452">
        <v>5</v>
      </c>
    </row>
    <row r="453" spans="1:8" x14ac:dyDescent="0.3">
      <c r="A453">
        <v>452</v>
      </c>
      <c r="B453">
        <f>_xlfn.XLOOKUP(C453,[1]Brand!$A$2:$A$88,[1]Brand!$B$2:$B$88)</f>
        <v>15</v>
      </c>
      <c r="C453">
        <v>79</v>
      </c>
      <c r="D453" t="s">
        <v>531</v>
      </c>
      <c r="E453" t="s">
        <v>537</v>
      </c>
      <c r="F453" t="s">
        <v>538</v>
      </c>
      <c r="G453">
        <v>1599</v>
      </c>
      <c r="H453">
        <v>10</v>
      </c>
    </row>
    <row r="454" spans="1:8" x14ac:dyDescent="0.3">
      <c r="A454">
        <v>453</v>
      </c>
      <c r="B454">
        <f>_xlfn.XLOOKUP(C454,[1]Brand!$A$2:$A$88,[1]Brand!$B$2:$B$88)</f>
        <v>15</v>
      </c>
      <c r="C454">
        <v>79</v>
      </c>
      <c r="D454" t="s">
        <v>531</v>
      </c>
      <c r="E454" t="s">
        <v>537</v>
      </c>
      <c r="F454" t="s">
        <v>539</v>
      </c>
      <c r="G454">
        <v>1799</v>
      </c>
      <c r="H454">
        <v>8</v>
      </c>
    </row>
    <row r="455" spans="1:8" x14ac:dyDescent="0.3">
      <c r="A455">
        <v>454</v>
      </c>
      <c r="B455">
        <f>_xlfn.XLOOKUP(C455,[1]Brand!$A$2:$A$88,[1]Brand!$B$2:$B$88)</f>
        <v>15</v>
      </c>
      <c r="C455">
        <v>79</v>
      </c>
      <c r="D455" t="s">
        <v>531</v>
      </c>
      <c r="E455" t="s">
        <v>537</v>
      </c>
      <c r="F455" t="s">
        <v>540</v>
      </c>
      <c r="G455">
        <v>1299</v>
      </c>
      <c r="H455">
        <v>12</v>
      </c>
    </row>
    <row r="456" spans="1:8" x14ac:dyDescent="0.3">
      <c r="A456">
        <v>455</v>
      </c>
      <c r="B456">
        <f>_xlfn.XLOOKUP(C456,[1]Brand!$A$2:$A$88,[1]Brand!$B$2:$B$88)</f>
        <v>15</v>
      </c>
      <c r="C456">
        <v>79</v>
      </c>
      <c r="D456" t="s">
        <v>531</v>
      </c>
      <c r="E456" t="s">
        <v>537</v>
      </c>
      <c r="F456" t="s">
        <v>541</v>
      </c>
      <c r="G456">
        <v>3999</v>
      </c>
      <c r="H456">
        <v>5</v>
      </c>
    </row>
    <row r="457" spans="1:8" x14ac:dyDescent="0.3">
      <c r="A457">
        <v>456</v>
      </c>
      <c r="B457">
        <f>_xlfn.XLOOKUP(C457,[1]Brand!$A$2:$A$88,[1]Brand!$B$2:$B$88)</f>
        <v>15</v>
      </c>
      <c r="C457">
        <v>80</v>
      </c>
      <c r="D457" t="s">
        <v>531</v>
      </c>
      <c r="E457" t="s">
        <v>542</v>
      </c>
      <c r="F457" t="s">
        <v>543</v>
      </c>
      <c r="G457">
        <v>1499</v>
      </c>
      <c r="H457">
        <v>10</v>
      </c>
    </row>
    <row r="458" spans="1:8" x14ac:dyDescent="0.3">
      <c r="A458">
        <v>457</v>
      </c>
      <c r="B458">
        <f>_xlfn.XLOOKUP(C458,[1]Brand!$A$2:$A$88,[1]Brand!$B$2:$B$88)</f>
        <v>15</v>
      </c>
      <c r="C458">
        <v>80</v>
      </c>
      <c r="D458" t="s">
        <v>531</v>
      </c>
      <c r="E458" t="s">
        <v>542</v>
      </c>
      <c r="F458" t="s">
        <v>544</v>
      </c>
      <c r="G458">
        <v>1799</v>
      </c>
      <c r="H458">
        <v>8</v>
      </c>
    </row>
    <row r="459" spans="1:8" x14ac:dyDescent="0.3">
      <c r="A459">
        <v>458</v>
      </c>
      <c r="B459">
        <f>_xlfn.XLOOKUP(C459,[1]Brand!$A$2:$A$88,[1]Brand!$B$2:$B$88)</f>
        <v>15</v>
      </c>
      <c r="C459">
        <v>80</v>
      </c>
      <c r="D459" t="s">
        <v>531</v>
      </c>
      <c r="E459" t="s">
        <v>542</v>
      </c>
      <c r="F459" t="s">
        <v>545</v>
      </c>
      <c r="G459">
        <v>999</v>
      </c>
      <c r="H459">
        <v>12</v>
      </c>
    </row>
    <row r="460" spans="1:8" x14ac:dyDescent="0.3">
      <c r="A460">
        <v>459</v>
      </c>
      <c r="B460">
        <f>_xlfn.XLOOKUP(C460,[1]Brand!$A$2:$A$88,[1]Brand!$B$2:$B$88)</f>
        <v>15</v>
      </c>
      <c r="C460">
        <v>80</v>
      </c>
      <c r="D460" t="s">
        <v>531</v>
      </c>
      <c r="E460" t="s">
        <v>542</v>
      </c>
      <c r="F460" t="s">
        <v>546</v>
      </c>
      <c r="G460">
        <v>3999</v>
      </c>
      <c r="H460">
        <v>5</v>
      </c>
    </row>
    <row r="461" spans="1:8" x14ac:dyDescent="0.3">
      <c r="A461">
        <v>460</v>
      </c>
      <c r="B461">
        <f>_xlfn.XLOOKUP(C461,[1]Brand!$A$2:$A$88,[1]Brand!$B$2:$B$88)</f>
        <v>15</v>
      </c>
      <c r="C461">
        <v>81</v>
      </c>
      <c r="D461" t="s">
        <v>531</v>
      </c>
      <c r="E461" t="s">
        <v>547</v>
      </c>
      <c r="F461" t="s">
        <v>533</v>
      </c>
      <c r="G461">
        <v>1999</v>
      </c>
      <c r="H461">
        <v>10</v>
      </c>
    </row>
    <row r="462" spans="1:8" x14ac:dyDescent="0.3">
      <c r="A462">
        <v>461</v>
      </c>
      <c r="B462">
        <f>_xlfn.XLOOKUP(C462,[1]Brand!$A$2:$A$88,[1]Brand!$B$2:$B$88)</f>
        <v>15</v>
      </c>
      <c r="C462">
        <v>81</v>
      </c>
      <c r="D462" t="s">
        <v>531</v>
      </c>
      <c r="E462" t="s">
        <v>547</v>
      </c>
      <c r="F462" t="s">
        <v>548</v>
      </c>
      <c r="G462">
        <v>2499</v>
      </c>
      <c r="H462">
        <v>8</v>
      </c>
    </row>
    <row r="463" spans="1:8" x14ac:dyDescent="0.3">
      <c r="A463">
        <v>462</v>
      </c>
      <c r="B463">
        <f>_xlfn.XLOOKUP(C463,[1]Brand!$A$2:$A$88,[1]Brand!$B$2:$B$88)</f>
        <v>15</v>
      </c>
      <c r="C463">
        <v>81</v>
      </c>
      <c r="D463" t="s">
        <v>531</v>
      </c>
      <c r="E463" t="s">
        <v>547</v>
      </c>
      <c r="F463" t="s">
        <v>549</v>
      </c>
      <c r="G463">
        <v>1499</v>
      </c>
      <c r="H463">
        <v>12</v>
      </c>
    </row>
    <row r="464" spans="1:8" x14ac:dyDescent="0.3">
      <c r="A464">
        <v>463</v>
      </c>
      <c r="B464">
        <f>_xlfn.XLOOKUP(C464,[1]Brand!$A$2:$A$88,[1]Brand!$B$2:$B$88)</f>
        <v>15</v>
      </c>
      <c r="C464">
        <v>81</v>
      </c>
      <c r="D464" t="s">
        <v>531</v>
      </c>
      <c r="E464" t="s">
        <v>547</v>
      </c>
      <c r="F464" t="s">
        <v>550</v>
      </c>
      <c r="G464">
        <v>4999</v>
      </c>
      <c r="H464">
        <v>5</v>
      </c>
    </row>
    <row r="465" spans="1:8" x14ac:dyDescent="0.3">
      <c r="A465">
        <v>464</v>
      </c>
      <c r="B465">
        <f>_xlfn.XLOOKUP(C465,[1]Brand!$A$2:$A$88,[1]Brand!$B$2:$B$88)</f>
        <v>15</v>
      </c>
      <c r="C465">
        <v>82</v>
      </c>
      <c r="D465" t="s">
        <v>531</v>
      </c>
      <c r="E465" t="s">
        <v>551</v>
      </c>
      <c r="F465" t="s">
        <v>538</v>
      </c>
      <c r="G465">
        <v>1599</v>
      </c>
      <c r="H465">
        <v>10</v>
      </c>
    </row>
    <row r="466" spans="1:8" x14ac:dyDescent="0.3">
      <c r="A466">
        <v>465</v>
      </c>
      <c r="B466">
        <f>_xlfn.XLOOKUP(C466,[1]Brand!$A$2:$A$88,[1]Brand!$B$2:$B$88)</f>
        <v>15</v>
      </c>
      <c r="C466">
        <v>82</v>
      </c>
      <c r="D466" t="s">
        <v>531</v>
      </c>
      <c r="E466" t="s">
        <v>551</v>
      </c>
      <c r="F466" t="s">
        <v>552</v>
      </c>
      <c r="G466">
        <v>1799</v>
      </c>
      <c r="H466">
        <v>8</v>
      </c>
    </row>
    <row r="467" spans="1:8" x14ac:dyDescent="0.3">
      <c r="A467">
        <v>466</v>
      </c>
      <c r="B467">
        <f>_xlfn.XLOOKUP(C467,[1]Brand!$A$2:$A$88,[1]Brand!$B$2:$B$88)</f>
        <v>15</v>
      </c>
      <c r="C467">
        <v>82</v>
      </c>
      <c r="D467" t="s">
        <v>531</v>
      </c>
      <c r="E467" t="s">
        <v>551</v>
      </c>
      <c r="F467" t="s">
        <v>549</v>
      </c>
      <c r="G467">
        <v>1299</v>
      </c>
      <c r="H467">
        <v>12</v>
      </c>
    </row>
    <row r="468" spans="1:8" x14ac:dyDescent="0.3">
      <c r="A468">
        <v>467</v>
      </c>
      <c r="B468">
        <f>_xlfn.XLOOKUP(C468,[1]Brand!$A$2:$A$88,[1]Brand!$B$2:$B$88)</f>
        <v>15</v>
      </c>
      <c r="C468">
        <v>82</v>
      </c>
      <c r="D468" t="s">
        <v>531</v>
      </c>
      <c r="E468" t="s">
        <v>551</v>
      </c>
      <c r="F468" t="s">
        <v>553</v>
      </c>
      <c r="G468">
        <v>3999</v>
      </c>
      <c r="H468">
        <v>5</v>
      </c>
    </row>
    <row r="469" spans="1:8" x14ac:dyDescent="0.3">
      <c r="A469">
        <v>468</v>
      </c>
      <c r="B469">
        <f>_xlfn.XLOOKUP(C469,[1]Brand!$A$2:$A$88,[1]Brand!$B$2:$B$88)</f>
        <v>16</v>
      </c>
      <c r="C469">
        <v>83</v>
      </c>
      <c r="D469" t="s">
        <v>554</v>
      </c>
      <c r="E469" t="s">
        <v>555</v>
      </c>
      <c r="F469" t="s">
        <v>556</v>
      </c>
      <c r="G469">
        <v>150</v>
      </c>
      <c r="H469">
        <v>20</v>
      </c>
    </row>
    <row r="470" spans="1:8" x14ac:dyDescent="0.3">
      <c r="A470">
        <v>469</v>
      </c>
      <c r="B470">
        <f>_xlfn.XLOOKUP(C470,[1]Brand!$A$2:$A$88,[1]Brand!$B$2:$B$88)</f>
        <v>16</v>
      </c>
      <c r="C470">
        <v>83</v>
      </c>
      <c r="D470" t="s">
        <v>554</v>
      </c>
      <c r="E470" t="s">
        <v>555</v>
      </c>
      <c r="F470" t="s">
        <v>557</v>
      </c>
      <c r="G470">
        <v>60</v>
      </c>
      <c r="H470">
        <v>30</v>
      </c>
    </row>
    <row r="471" spans="1:8" x14ac:dyDescent="0.3">
      <c r="A471">
        <v>470</v>
      </c>
      <c r="B471">
        <f>_xlfn.XLOOKUP(C471,[1]Brand!$A$2:$A$88,[1]Brand!$B$2:$B$88)</f>
        <v>16</v>
      </c>
      <c r="C471">
        <v>83</v>
      </c>
      <c r="D471" t="s">
        <v>554</v>
      </c>
      <c r="E471" t="s">
        <v>555</v>
      </c>
      <c r="F471" t="s">
        <v>558</v>
      </c>
      <c r="G471">
        <v>40</v>
      </c>
      <c r="H471">
        <v>25</v>
      </c>
    </row>
    <row r="472" spans="1:8" x14ac:dyDescent="0.3">
      <c r="A472">
        <v>471</v>
      </c>
      <c r="B472">
        <f>_xlfn.XLOOKUP(C472,[1]Brand!$A$2:$A$88,[1]Brand!$B$2:$B$88)</f>
        <v>16</v>
      </c>
      <c r="C472">
        <v>83</v>
      </c>
      <c r="D472" t="s">
        <v>554</v>
      </c>
      <c r="E472" t="s">
        <v>555</v>
      </c>
      <c r="F472" t="s">
        <v>559</v>
      </c>
      <c r="G472">
        <v>35</v>
      </c>
      <c r="H472">
        <v>15</v>
      </c>
    </row>
    <row r="473" spans="1:8" x14ac:dyDescent="0.3">
      <c r="A473">
        <v>472</v>
      </c>
      <c r="B473">
        <f>_xlfn.XLOOKUP(C473,[1]Brand!$A$2:$A$88,[1]Brand!$B$2:$B$88)</f>
        <v>16</v>
      </c>
      <c r="C473">
        <v>83</v>
      </c>
      <c r="D473" t="s">
        <v>554</v>
      </c>
      <c r="E473" t="s">
        <v>555</v>
      </c>
      <c r="F473" t="s">
        <v>560</v>
      </c>
      <c r="G473">
        <v>80</v>
      </c>
      <c r="H473">
        <v>20</v>
      </c>
    </row>
    <row r="474" spans="1:8" x14ac:dyDescent="0.3">
      <c r="A474">
        <v>473</v>
      </c>
      <c r="B474">
        <f>_xlfn.XLOOKUP(C474,[1]Brand!$A$2:$A$88,[1]Brand!$B$2:$B$88)</f>
        <v>16</v>
      </c>
      <c r="C474">
        <v>83</v>
      </c>
      <c r="D474" t="s">
        <v>554</v>
      </c>
      <c r="E474" t="s">
        <v>555</v>
      </c>
      <c r="F474" t="s">
        <v>561</v>
      </c>
      <c r="G474">
        <v>50</v>
      </c>
      <c r="H474">
        <v>25</v>
      </c>
    </row>
    <row r="475" spans="1:8" x14ac:dyDescent="0.3">
      <c r="A475">
        <v>474</v>
      </c>
      <c r="B475">
        <f>_xlfn.XLOOKUP(C475,[1]Brand!$A$2:$A$88,[1]Brand!$B$2:$B$88)</f>
        <v>16</v>
      </c>
      <c r="C475">
        <v>83</v>
      </c>
      <c r="D475" t="s">
        <v>554</v>
      </c>
      <c r="E475" t="s">
        <v>555</v>
      </c>
      <c r="F475" t="s">
        <v>562</v>
      </c>
      <c r="G475">
        <v>30</v>
      </c>
      <c r="H475">
        <v>30</v>
      </c>
    </row>
    <row r="476" spans="1:8" x14ac:dyDescent="0.3">
      <c r="A476">
        <v>475</v>
      </c>
      <c r="B476">
        <f>_xlfn.XLOOKUP(C476,[1]Brand!$A$2:$A$88,[1]Brand!$B$2:$B$88)</f>
        <v>16</v>
      </c>
      <c r="C476">
        <v>83</v>
      </c>
      <c r="D476" t="s">
        <v>554</v>
      </c>
      <c r="E476" t="s">
        <v>555</v>
      </c>
      <c r="F476" t="s">
        <v>563</v>
      </c>
      <c r="G476">
        <v>25</v>
      </c>
      <c r="H476">
        <v>15</v>
      </c>
    </row>
    <row r="477" spans="1:8" x14ac:dyDescent="0.3">
      <c r="A477">
        <v>476</v>
      </c>
      <c r="B477">
        <f>_xlfn.XLOOKUP(C477,[1]Brand!$A$2:$A$88,[1]Brand!$B$2:$B$88)</f>
        <v>16</v>
      </c>
      <c r="C477">
        <v>84</v>
      </c>
      <c r="D477" t="s">
        <v>554</v>
      </c>
      <c r="E477" t="s">
        <v>564</v>
      </c>
      <c r="F477" t="s">
        <v>565</v>
      </c>
      <c r="G477">
        <v>120</v>
      </c>
      <c r="H477">
        <v>20</v>
      </c>
    </row>
    <row r="478" spans="1:8" x14ac:dyDescent="0.3">
      <c r="A478">
        <v>477</v>
      </c>
      <c r="B478">
        <f>_xlfn.XLOOKUP(C478,[1]Brand!$A$2:$A$88,[1]Brand!$B$2:$B$88)</f>
        <v>16</v>
      </c>
      <c r="C478">
        <v>84</v>
      </c>
      <c r="D478" t="s">
        <v>554</v>
      </c>
      <c r="E478" t="s">
        <v>564</v>
      </c>
      <c r="F478" t="s">
        <v>566</v>
      </c>
      <c r="G478">
        <v>40</v>
      </c>
      <c r="H478">
        <v>25</v>
      </c>
    </row>
    <row r="479" spans="1:8" x14ac:dyDescent="0.3">
      <c r="A479">
        <v>478</v>
      </c>
      <c r="B479">
        <f>_xlfn.XLOOKUP(C479,[1]Brand!$A$2:$A$88,[1]Brand!$B$2:$B$88)</f>
        <v>16</v>
      </c>
      <c r="C479">
        <v>84</v>
      </c>
      <c r="D479" t="s">
        <v>554</v>
      </c>
      <c r="E479" t="s">
        <v>564</v>
      </c>
      <c r="F479" t="s">
        <v>567</v>
      </c>
      <c r="G479">
        <v>90</v>
      </c>
      <c r="H479">
        <v>15</v>
      </c>
    </row>
    <row r="480" spans="1:8" x14ac:dyDescent="0.3">
      <c r="A480">
        <v>479</v>
      </c>
      <c r="B480">
        <f>_xlfn.XLOOKUP(C480,[1]Brand!$A$2:$A$88,[1]Brand!$B$2:$B$88)</f>
        <v>16</v>
      </c>
      <c r="C480">
        <v>84</v>
      </c>
      <c r="D480" t="s">
        <v>554</v>
      </c>
      <c r="E480" t="s">
        <v>564</v>
      </c>
      <c r="F480" t="s">
        <v>568</v>
      </c>
      <c r="G480">
        <v>150</v>
      </c>
      <c r="H480">
        <v>10</v>
      </c>
    </row>
    <row r="481" spans="1:8" x14ac:dyDescent="0.3">
      <c r="A481">
        <v>480</v>
      </c>
      <c r="B481">
        <f>_xlfn.XLOOKUP(C481,[1]Brand!$A$2:$A$88,[1]Brand!$B$2:$B$88)</f>
        <v>16</v>
      </c>
      <c r="C481">
        <v>85</v>
      </c>
      <c r="D481" t="s">
        <v>554</v>
      </c>
      <c r="E481" t="s">
        <v>569</v>
      </c>
      <c r="F481" t="s">
        <v>570</v>
      </c>
      <c r="G481">
        <v>312.33</v>
      </c>
      <c r="H481">
        <v>20</v>
      </c>
    </row>
    <row r="482" spans="1:8" x14ac:dyDescent="0.3">
      <c r="A482">
        <v>481</v>
      </c>
      <c r="B482">
        <f>_xlfn.XLOOKUP(C482,[1]Brand!$A$2:$A$88,[1]Brand!$B$2:$B$88)</f>
        <v>16</v>
      </c>
      <c r="C482">
        <v>85</v>
      </c>
      <c r="D482" t="s">
        <v>554</v>
      </c>
      <c r="E482" t="s">
        <v>569</v>
      </c>
      <c r="F482" t="s">
        <v>571</v>
      </c>
      <c r="G482">
        <v>80</v>
      </c>
      <c r="H482">
        <v>25</v>
      </c>
    </row>
    <row r="483" spans="1:8" x14ac:dyDescent="0.3">
      <c r="A483">
        <v>482</v>
      </c>
      <c r="B483">
        <f>_xlfn.XLOOKUP(C483,[1]Brand!$A$2:$A$88,[1]Brand!$B$2:$B$88)</f>
        <v>16</v>
      </c>
      <c r="C483">
        <v>85</v>
      </c>
      <c r="D483" t="s">
        <v>554</v>
      </c>
      <c r="E483" t="s">
        <v>569</v>
      </c>
      <c r="F483" t="s">
        <v>572</v>
      </c>
      <c r="G483">
        <v>15.13</v>
      </c>
      <c r="H483">
        <v>30</v>
      </c>
    </row>
    <row r="484" spans="1:8" x14ac:dyDescent="0.3">
      <c r="A484">
        <v>483</v>
      </c>
      <c r="B484">
        <f>_xlfn.XLOOKUP(C484,[1]Brand!$A$2:$A$88,[1]Brand!$B$2:$B$88)</f>
        <v>16</v>
      </c>
      <c r="C484">
        <v>85</v>
      </c>
      <c r="D484" t="s">
        <v>554</v>
      </c>
      <c r="E484" t="s">
        <v>569</v>
      </c>
      <c r="F484" t="s">
        <v>573</v>
      </c>
      <c r="G484">
        <v>45</v>
      </c>
      <c r="H484">
        <v>40</v>
      </c>
    </row>
    <row r="485" spans="1:8" x14ac:dyDescent="0.3">
      <c r="A485">
        <v>484</v>
      </c>
      <c r="B485">
        <f>_xlfn.XLOOKUP(C485,[1]Brand!$A$2:$A$88,[1]Brand!$B$2:$B$88)</f>
        <v>16</v>
      </c>
      <c r="C485">
        <v>86</v>
      </c>
      <c r="D485" t="s">
        <v>554</v>
      </c>
      <c r="E485" t="s">
        <v>574</v>
      </c>
      <c r="F485" t="s">
        <v>575</v>
      </c>
      <c r="G485">
        <v>400</v>
      </c>
      <c r="H485">
        <v>15</v>
      </c>
    </row>
    <row r="486" spans="1:8" x14ac:dyDescent="0.3">
      <c r="A486">
        <v>485</v>
      </c>
      <c r="B486">
        <f>_xlfn.XLOOKUP(C486,[1]Brand!$A$2:$A$88,[1]Brand!$B$2:$B$88)</f>
        <v>16</v>
      </c>
      <c r="C486">
        <v>86</v>
      </c>
      <c r="D486" t="s">
        <v>554</v>
      </c>
      <c r="E486" t="s">
        <v>574</v>
      </c>
      <c r="F486" t="s">
        <v>576</v>
      </c>
      <c r="G486">
        <v>150</v>
      </c>
      <c r="H486">
        <v>20</v>
      </c>
    </row>
    <row r="487" spans="1:8" x14ac:dyDescent="0.3">
      <c r="A487">
        <v>486</v>
      </c>
      <c r="B487">
        <f>_xlfn.XLOOKUP(C487,[1]Brand!$A$2:$A$88,[1]Brand!$B$2:$B$88)</f>
        <v>16</v>
      </c>
      <c r="C487">
        <v>86</v>
      </c>
      <c r="D487" t="s">
        <v>554</v>
      </c>
      <c r="E487" t="s">
        <v>574</v>
      </c>
      <c r="F487" t="s">
        <v>577</v>
      </c>
      <c r="G487">
        <v>350</v>
      </c>
      <c r="H487">
        <v>10</v>
      </c>
    </row>
    <row r="488" spans="1:8" x14ac:dyDescent="0.3">
      <c r="A488">
        <v>487</v>
      </c>
      <c r="B488">
        <f>_xlfn.XLOOKUP(C488,[1]Brand!$A$2:$A$88,[1]Brand!$B$2:$B$88)</f>
        <v>16</v>
      </c>
      <c r="C488">
        <v>86</v>
      </c>
      <c r="D488" t="s">
        <v>554</v>
      </c>
      <c r="E488" t="s">
        <v>574</v>
      </c>
      <c r="F488" t="s">
        <v>578</v>
      </c>
      <c r="G488">
        <v>120</v>
      </c>
      <c r="H488">
        <v>25</v>
      </c>
    </row>
    <row r="489" spans="1:8" x14ac:dyDescent="0.3">
      <c r="A489">
        <v>488</v>
      </c>
      <c r="B489">
        <f>_xlfn.XLOOKUP(C489,[1]Brand!$A$2:$A$88,[1]Brand!$B$2:$B$88)</f>
        <v>16</v>
      </c>
      <c r="C489">
        <v>86</v>
      </c>
      <c r="D489" t="s">
        <v>554</v>
      </c>
      <c r="E489" t="s">
        <v>574</v>
      </c>
      <c r="F489" t="s">
        <v>579</v>
      </c>
      <c r="G489">
        <v>300</v>
      </c>
      <c r="H489">
        <v>10</v>
      </c>
    </row>
    <row r="490" spans="1:8" x14ac:dyDescent="0.3">
      <c r="A490">
        <v>489</v>
      </c>
      <c r="B490">
        <f>_xlfn.XLOOKUP(C490,[1]Brand!$A$2:$A$88,[1]Brand!$B$2:$B$88)</f>
        <v>16</v>
      </c>
      <c r="C490">
        <v>86</v>
      </c>
      <c r="D490" t="s">
        <v>554</v>
      </c>
      <c r="E490" t="s">
        <v>574</v>
      </c>
      <c r="F490" t="s">
        <v>580</v>
      </c>
      <c r="G490">
        <v>80</v>
      </c>
      <c r="H490">
        <v>20</v>
      </c>
    </row>
    <row r="491" spans="1:8" x14ac:dyDescent="0.3">
      <c r="A491">
        <v>490</v>
      </c>
      <c r="B491">
        <f>_xlfn.XLOOKUP(C491,[1]Brand!$A$2:$A$88,[1]Brand!$B$2:$B$88)</f>
        <v>16</v>
      </c>
      <c r="C491">
        <v>86</v>
      </c>
      <c r="D491" t="s">
        <v>554</v>
      </c>
      <c r="E491" t="s">
        <v>574</v>
      </c>
      <c r="F491" t="s">
        <v>581</v>
      </c>
      <c r="G491">
        <v>200</v>
      </c>
      <c r="H491">
        <v>15</v>
      </c>
    </row>
    <row r="492" spans="1:8" x14ac:dyDescent="0.3">
      <c r="A492">
        <v>491</v>
      </c>
      <c r="B492">
        <f>_xlfn.XLOOKUP(C492,[1]Brand!$A$2:$A$88,[1]Brand!$B$2:$B$88)</f>
        <v>16</v>
      </c>
      <c r="C492">
        <v>86</v>
      </c>
      <c r="D492" t="s">
        <v>554</v>
      </c>
      <c r="E492" t="s">
        <v>574</v>
      </c>
      <c r="F492" t="s">
        <v>582</v>
      </c>
      <c r="G492">
        <v>150</v>
      </c>
      <c r="H492">
        <v>25</v>
      </c>
    </row>
    <row r="493" spans="1:8" x14ac:dyDescent="0.3">
      <c r="A493">
        <v>492</v>
      </c>
      <c r="B493">
        <f>_xlfn.XLOOKUP(C493,[1]Brand!$A$2:$A$88,[1]Brand!$B$2:$B$88)</f>
        <v>16</v>
      </c>
      <c r="C493">
        <v>87</v>
      </c>
      <c r="D493" t="s">
        <v>554</v>
      </c>
      <c r="E493" t="s">
        <v>583</v>
      </c>
      <c r="F493" t="s">
        <v>556</v>
      </c>
      <c r="G493">
        <v>150</v>
      </c>
      <c r="H493">
        <v>20</v>
      </c>
    </row>
    <row r="494" spans="1:8" x14ac:dyDescent="0.3">
      <c r="A494">
        <v>493</v>
      </c>
      <c r="B494">
        <f>_xlfn.XLOOKUP(C494,[1]Brand!$A$2:$A$88,[1]Brand!$B$2:$B$88)</f>
        <v>16</v>
      </c>
      <c r="C494">
        <v>87</v>
      </c>
      <c r="D494" t="s">
        <v>554</v>
      </c>
      <c r="E494" t="s">
        <v>583</v>
      </c>
      <c r="F494" t="s">
        <v>557</v>
      </c>
      <c r="G494">
        <v>60</v>
      </c>
      <c r="H494">
        <v>30</v>
      </c>
    </row>
    <row r="495" spans="1:8" x14ac:dyDescent="0.3">
      <c r="A495">
        <v>494</v>
      </c>
      <c r="B495">
        <f>_xlfn.XLOOKUP(C495,[1]Brand!$A$2:$A$88,[1]Brand!$B$2:$B$88)</f>
        <v>16</v>
      </c>
      <c r="C495">
        <v>87</v>
      </c>
      <c r="D495" t="s">
        <v>554</v>
      </c>
      <c r="E495" t="s">
        <v>583</v>
      </c>
      <c r="F495" t="s">
        <v>558</v>
      </c>
      <c r="G495">
        <v>40</v>
      </c>
      <c r="H495">
        <v>25</v>
      </c>
    </row>
    <row r="496" spans="1:8" x14ac:dyDescent="0.3">
      <c r="A496">
        <v>495</v>
      </c>
      <c r="B496">
        <f>_xlfn.XLOOKUP(C496,[1]Brand!$A$2:$A$88,[1]Brand!$B$2:$B$88)</f>
        <v>16</v>
      </c>
      <c r="C496">
        <v>87</v>
      </c>
      <c r="D496" t="s">
        <v>554</v>
      </c>
      <c r="E496" t="s">
        <v>583</v>
      </c>
      <c r="F496" t="s">
        <v>559</v>
      </c>
      <c r="G496">
        <v>35</v>
      </c>
      <c r="H496">
        <v>15</v>
      </c>
    </row>
    <row r="497" spans="1:8" x14ac:dyDescent="0.3">
      <c r="A497">
        <v>496</v>
      </c>
      <c r="B497">
        <f>_xlfn.XLOOKUP(C497,[1]Brand!$A$2:$A$88,[1]Brand!$B$2:$B$88)</f>
        <v>16</v>
      </c>
      <c r="C497">
        <v>87</v>
      </c>
      <c r="D497" t="s">
        <v>554</v>
      </c>
      <c r="E497" t="s">
        <v>583</v>
      </c>
      <c r="F497" t="s">
        <v>560</v>
      </c>
      <c r="G497">
        <v>80</v>
      </c>
      <c r="H497">
        <v>20</v>
      </c>
    </row>
    <row r="498" spans="1:8" x14ac:dyDescent="0.3">
      <c r="A498">
        <v>497</v>
      </c>
      <c r="B498">
        <f>_xlfn.XLOOKUP(C498,[1]Brand!$A$2:$A$88,[1]Brand!$B$2:$B$88)</f>
        <v>16</v>
      </c>
      <c r="C498">
        <v>87</v>
      </c>
      <c r="D498" t="s">
        <v>554</v>
      </c>
      <c r="E498" t="s">
        <v>583</v>
      </c>
      <c r="F498" t="s">
        <v>561</v>
      </c>
      <c r="G498">
        <v>50</v>
      </c>
      <c r="H498">
        <v>25</v>
      </c>
    </row>
    <row r="499" spans="1:8" x14ac:dyDescent="0.3">
      <c r="A499">
        <v>498</v>
      </c>
      <c r="B499">
        <f>_xlfn.XLOOKUP(C499,[1]Brand!$A$2:$A$88,[1]Brand!$B$2:$B$88)</f>
        <v>16</v>
      </c>
      <c r="C499">
        <v>87</v>
      </c>
      <c r="D499" t="s">
        <v>554</v>
      </c>
      <c r="E499" t="s">
        <v>583</v>
      </c>
      <c r="F499" t="s">
        <v>562</v>
      </c>
      <c r="G499">
        <v>30</v>
      </c>
      <c r="H499">
        <v>30</v>
      </c>
    </row>
    <row r="500" spans="1:8" x14ac:dyDescent="0.3">
      <c r="A500">
        <v>499</v>
      </c>
      <c r="B500">
        <f>_xlfn.XLOOKUP(C500,[1]Brand!$A$2:$A$88,[1]Brand!$B$2:$B$88)</f>
        <v>16</v>
      </c>
      <c r="C500">
        <v>87</v>
      </c>
      <c r="D500" t="s">
        <v>554</v>
      </c>
      <c r="E500" t="s">
        <v>583</v>
      </c>
      <c r="F500" t="s">
        <v>563</v>
      </c>
      <c r="G500">
        <v>25</v>
      </c>
      <c r="H500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60DE9362C946469DC60F400B51DD22" ma:contentTypeVersion="12" ma:contentTypeDescription="Create a new document." ma:contentTypeScope="" ma:versionID="fe45b6b609bee516192ed61d2dbf056b">
  <xsd:schema xmlns:xsd="http://www.w3.org/2001/XMLSchema" xmlns:xs="http://www.w3.org/2001/XMLSchema" xmlns:p="http://schemas.microsoft.com/office/2006/metadata/properties" xmlns:ns2="4566d41c-fd77-4d2b-a714-399417db3a98" xmlns:ns3="c0736708-c7f5-446e-885c-a6ee6e3dcbeb" targetNamespace="http://schemas.microsoft.com/office/2006/metadata/properties" ma:root="true" ma:fieldsID="cbcdd66e64cb9f10f36316857532bec9" ns2:_="" ns3:_="">
    <xsd:import namespace="4566d41c-fd77-4d2b-a714-399417db3a98"/>
    <xsd:import namespace="c0736708-c7f5-446e-885c-a6ee6e3dc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66d41c-fd77-4d2b-a714-399417db3a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9aca27d-ad6b-47ba-9d7f-bbf5125bca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736708-c7f5-446e-885c-a6ee6e3dcb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ab3760-df7f-4fd0-a439-3e8c667a927c}" ma:internalName="TaxCatchAll" ma:showField="CatchAllData" ma:web="c0736708-c7f5-446e-885c-a6ee6e3dc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66d41c-fd77-4d2b-a714-399417db3a98">
      <Terms xmlns="http://schemas.microsoft.com/office/infopath/2007/PartnerControls"/>
    </lcf76f155ced4ddcb4097134ff3c332f>
    <TaxCatchAll xmlns="c0736708-c7f5-446e-885c-a6ee6e3dcbeb" xsi:nil="true"/>
  </documentManagement>
</p:properties>
</file>

<file path=customXml/itemProps1.xml><?xml version="1.0" encoding="utf-8"?>
<ds:datastoreItem xmlns:ds="http://schemas.openxmlformats.org/officeDocument/2006/customXml" ds:itemID="{3F33A73D-7508-471A-9E17-8DA38761954B}"/>
</file>

<file path=customXml/itemProps2.xml><?xml version="1.0" encoding="utf-8"?>
<ds:datastoreItem xmlns:ds="http://schemas.openxmlformats.org/officeDocument/2006/customXml" ds:itemID="{9E891F27-5C85-4AD9-9C42-EEBBCBA3BE24}"/>
</file>

<file path=customXml/itemProps3.xml><?xml version="1.0" encoding="utf-8"?>
<ds:datastoreItem xmlns:ds="http://schemas.openxmlformats.org/officeDocument/2006/customXml" ds:itemID="{B549D24A-F3B1-4A61-94E6-2CEB14136A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Lopamudra Bera</dc:creator>
  <cp:lastModifiedBy>Lopamudra Bera</cp:lastModifiedBy>
  <dcterms:created xsi:type="dcterms:W3CDTF">2025-03-22T11:17:15Z</dcterms:created>
  <dcterms:modified xsi:type="dcterms:W3CDTF">2025-03-23T16:25:09Z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0x0101005E60DE9362C946469DC60F400B51DD22</vt:lpwstr>
  </property>
  <property fmtid="{D5CDD505-2E9C-101B-9397-08002B2CF9AE}" pid="3" name="Order">
    <vt:r8>796200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